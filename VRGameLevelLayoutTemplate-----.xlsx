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D:\VR Dodge Game MAIN COPY ASW TEST\"/>
    </mc:Choice>
  </mc:AlternateContent>
  <xr:revisionPtr revIDLastSave="0" documentId="13_ncr:1_{544CDDB6-EC4D-4300-BB4A-55F1AFF5944F}" xr6:coauthVersionLast="47" xr6:coauthVersionMax="47" xr10:uidLastSave="{00000000-0000-0000-0000-000000000000}"/>
  <bookViews>
    <workbookView xWindow="-108" yWindow="-108" windowWidth="23256" windowHeight="12576" activeTab="6" xr2:uid="{BB5CE61E-332C-49C4-8125-0A3784466D97}"/>
  </bookViews>
  <sheets>
    <sheet name="Areas" sheetId="1" r:id="rId1"/>
    <sheet name="DeveloperBlocks and Materials" sheetId="8" r:id="rId2"/>
    <sheet name="Prefs" sheetId="3" r:id="rId3"/>
    <sheet name="SpeedCalculationAndFPS" sheetId="6" r:id="rId4"/>
    <sheet name="CustomLevels" sheetId="4" r:id="rId5"/>
    <sheet name="Rankings" sheetId="5" r:id="rId6"/>
    <sheet name="Milestones"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1" i="7" l="1"/>
  <c r="D20" i="7"/>
  <c r="D19" i="7"/>
  <c r="D18" i="7"/>
  <c r="D17" i="7"/>
  <c r="D16" i="7"/>
  <c r="D15" i="7"/>
  <c r="D14" i="7"/>
  <c r="D13" i="7"/>
  <c r="D12" i="7"/>
  <c r="D11" i="7"/>
  <c r="D10" i="7"/>
  <c r="D9" i="7"/>
  <c r="D8" i="7"/>
  <c r="D7" i="7"/>
  <c r="C8" i="7"/>
  <c r="C9" i="7"/>
  <c r="C10" i="7"/>
  <c r="C11" i="7"/>
  <c r="C12" i="7"/>
  <c r="C13" i="7"/>
  <c r="C14" i="7"/>
  <c r="C15" i="7"/>
  <c r="C16" i="7"/>
  <c r="C17" i="7"/>
  <c r="C18" i="7"/>
  <c r="C19" i="7"/>
  <c r="C20" i="7"/>
  <c r="C21" i="7"/>
  <c r="C7" i="7"/>
  <c r="B46" i="5"/>
  <c r="P4" i="5"/>
  <c r="P5" i="5"/>
  <c r="G5" i="5" s="1"/>
  <c r="H5" i="5" s="1"/>
  <c r="I5" i="5" s="1"/>
  <c r="J5" i="5" s="1"/>
  <c r="K5" i="5" s="1"/>
  <c r="L5" i="5" s="1"/>
  <c r="M5" i="5" s="1"/>
  <c r="N5" i="5" s="1"/>
  <c r="O5" i="5" s="1"/>
  <c r="O47" i="5" s="1"/>
  <c r="P6" i="5"/>
  <c r="G6" i="5" s="1"/>
  <c r="H6" i="5" s="1"/>
  <c r="I6" i="5" s="1"/>
  <c r="J6" i="5" s="1"/>
  <c r="K6" i="5" s="1"/>
  <c r="L6" i="5" s="1"/>
  <c r="M6" i="5" s="1"/>
  <c r="N6" i="5" s="1"/>
  <c r="O6" i="5" s="1"/>
  <c r="O48" i="5" s="1"/>
  <c r="P7" i="5"/>
  <c r="P8" i="5"/>
  <c r="G8" i="5" s="1"/>
  <c r="P9" i="5"/>
  <c r="P10" i="5"/>
  <c r="P11" i="5"/>
  <c r="G11" i="5" s="1"/>
  <c r="H11" i="5" s="1"/>
  <c r="I11" i="5" s="1"/>
  <c r="J11" i="5" s="1"/>
  <c r="K11" i="5" s="1"/>
  <c r="L11" i="5" s="1"/>
  <c r="M11" i="5" s="1"/>
  <c r="N11" i="5" s="1"/>
  <c r="O11" i="5" s="1"/>
  <c r="O53" i="5" s="1"/>
  <c r="P12" i="5"/>
  <c r="P13" i="5"/>
  <c r="P14" i="5"/>
  <c r="P15" i="5"/>
  <c r="P16" i="5"/>
  <c r="P17" i="5"/>
  <c r="P18" i="5"/>
  <c r="P19" i="5"/>
  <c r="P20" i="5"/>
  <c r="G20" i="5" s="1"/>
  <c r="H20" i="5" s="1"/>
  <c r="I20" i="5" s="1"/>
  <c r="J20" i="5" s="1"/>
  <c r="K20" i="5" s="1"/>
  <c r="L20" i="5" s="1"/>
  <c r="M20" i="5" s="1"/>
  <c r="N20" i="5" s="1"/>
  <c r="O20" i="5" s="1"/>
  <c r="O62" i="5" s="1"/>
  <c r="P21" i="5"/>
  <c r="P22" i="5"/>
  <c r="P23" i="5"/>
  <c r="P24" i="5"/>
  <c r="P25" i="5"/>
  <c r="P26" i="5"/>
  <c r="G26" i="5" s="1"/>
  <c r="H26" i="5" s="1"/>
  <c r="I26" i="5" s="1"/>
  <c r="J26" i="5" s="1"/>
  <c r="K26" i="5" s="1"/>
  <c r="L26" i="5" s="1"/>
  <c r="M26" i="5" s="1"/>
  <c r="N26" i="5" s="1"/>
  <c r="O26" i="5" s="1"/>
  <c r="O68" i="5" s="1"/>
  <c r="P27" i="5"/>
  <c r="P28" i="5"/>
  <c r="P29" i="5"/>
  <c r="G29" i="5" s="1"/>
  <c r="H29" i="5" s="1"/>
  <c r="I29" i="5" s="1"/>
  <c r="J29" i="5" s="1"/>
  <c r="K29" i="5" s="1"/>
  <c r="L29" i="5" s="1"/>
  <c r="M29" i="5" s="1"/>
  <c r="N29" i="5" s="1"/>
  <c r="O29" i="5" s="1"/>
  <c r="O71" i="5" s="1"/>
  <c r="P30" i="5"/>
  <c r="G30" i="5" s="1"/>
  <c r="H30" i="5" s="1"/>
  <c r="I30" i="5" s="1"/>
  <c r="J30" i="5" s="1"/>
  <c r="K30" i="5" s="1"/>
  <c r="L30" i="5" s="1"/>
  <c r="M30" i="5" s="1"/>
  <c r="N30" i="5" s="1"/>
  <c r="O30" i="5" s="1"/>
  <c r="O72" i="5" s="1"/>
  <c r="P31" i="5"/>
  <c r="G31" i="5" s="1"/>
  <c r="H31" i="5" s="1"/>
  <c r="I31" i="5" s="1"/>
  <c r="J31" i="5" s="1"/>
  <c r="K31" i="5" s="1"/>
  <c r="L31" i="5" s="1"/>
  <c r="M31" i="5" s="1"/>
  <c r="N31" i="5" s="1"/>
  <c r="O31" i="5" s="1"/>
  <c r="O73" i="5" s="1"/>
  <c r="P32" i="5"/>
  <c r="G32" i="5" s="1"/>
  <c r="H32" i="5" s="1"/>
  <c r="I32" i="5" s="1"/>
  <c r="J32" i="5" s="1"/>
  <c r="K32" i="5" s="1"/>
  <c r="L32" i="5" s="1"/>
  <c r="M32" i="5" s="1"/>
  <c r="N32" i="5" s="1"/>
  <c r="O32" i="5" s="1"/>
  <c r="O74" i="5" s="1"/>
  <c r="P33" i="5"/>
  <c r="P34" i="5"/>
  <c r="P35" i="5"/>
  <c r="P36" i="5"/>
  <c r="P37" i="5"/>
  <c r="P38" i="5"/>
  <c r="G38" i="5" s="1"/>
  <c r="H38" i="5" s="1"/>
  <c r="I38" i="5" s="1"/>
  <c r="J38" i="5" s="1"/>
  <c r="K38" i="5" s="1"/>
  <c r="L38" i="5" s="1"/>
  <c r="M38" i="5" s="1"/>
  <c r="N38" i="5" s="1"/>
  <c r="O38" i="5" s="1"/>
  <c r="O80" i="5" s="1"/>
  <c r="P39" i="5"/>
  <c r="G39" i="5" s="1"/>
  <c r="H39" i="5" s="1"/>
  <c r="I39" i="5" s="1"/>
  <c r="J39" i="5" s="1"/>
  <c r="K39" i="5" s="1"/>
  <c r="L39" i="5" s="1"/>
  <c r="M39" i="5" s="1"/>
  <c r="N39" i="5" s="1"/>
  <c r="O39" i="5" s="1"/>
  <c r="O81" i="5" s="1"/>
  <c r="P40" i="5"/>
  <c r="G40" i="5" s="1"/>
  <c r="H40" i="5" s="1"/>
  <c r="I40" i="5" s="1"/>
  <c r="J40" i="5" s="1"/>
  <c r="K40" i="5" s="1"/>
  <c r="L40" i="5" s="1"/>
  <c r="M40" i="5" s="1"/>
  <c r="N40" i="5" s="1"/>
  <c r="O40" i="5" s="1"/>
  <c r="O82" i="5" s="1"/>
  <c r="P41" i="5"/>
  <c r="P3" i="5"/>
  <c r="F83"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45" i="5"/>
  <c r="F85" i="5" s="1"/>
  <c r="E41" i="5"/>
  <c r="E34" i="5"/>
  <c r="G34" i="5" s="1"/>
  <c r="H34" i="5" s="1"/>
  <c r="I34" i="5" s="1"/>
  <c r="J34" i="5" s="1"/>
  <c r="K34" i="5" s="1"/>
  <c r="L34" i="5" s="1"/>
  <c r="M34" i="5" s="1"/>
  <c r="N34" i="5" s="1"/>
  <c r="O34" i="5" s="1"/>
  <c r="O76" i="5" s="1"/>
  <c r="E27" i="5"/>
  <c r="G27" i="5" s="1"/>
  <c r="H27" i="5" s="1"/>
  <c r="I27" i="5" s="1"/>
  <c r="J27" i="5" s="1"/>
  <c r="K27" i="5" s="1"/>
  <c r="L27" i="5" s="1"/>
  <c r="M27" i="5" s="1"/>
  <c r="N27" i="5" s="1"/>
  <c r="O27" i="5" s="1"/>
  <c r="O69" i="5" s="1"/>
  <c r="G25" i="5"/>
  <c r="H25" i="5" s="1"/>
  <c r="I25" i="5" s="1"/>
  <c r="J25" i="5" s="1"/>
  <c r="K25" i="5" s="1"/>
  <c r="L25" i="5" s="1"/>
  <c r="M25" i="5" s="1"/>
  <c r="N25" i="5" s="1"/>
  <c r="O25" i="5" s="1"/>
  <c r="O67" i="5" s="1"/>
  <c r="G23" i="5"/>
  <c r="H23" i="5" s="1"/>
  <c r="I23" i="5" s="1"/>
  <c r="J23" i="5" s="1"/>
  <c r="K23" i="5" s="1"/>
  <c r="L23" i="5" s="1"/>
  <c r="M23" i="5" s="1"/>
  <c r="N23" i="5" s="1"/>
  <c r="G22" i="5"/>
  <c r="H22" i="5" s="1"/>
  <c r="I22" i="5" s="1"/>
  <c r="J22" i="5" s="1"/>
  <c r="K22" i="5" s="1"/>
  <c r="L22" i="5" s="1"/>
  <c r="M22" i="5" s="1"/>
  <c r="N22" i="5" s="1"/>
  <c r="O22" i="5" s="1"/>
  <c r="O64" i="5" s="1"/>
  <c r="G21" i="5"/>
  <c r="H21" i="5" s="1"/>
  <c r="I21" i="5" s="1"/>
  <c r="J21" i="5" s="1"/>
  <c r="K21" i="5" s="1"/>
  <c r="L21" i="5" s="1"/>
  <c r="M21" i="5" s="1"/>
  <c r="N21" i="5" s="1"/>
  <c r="O21" i="5" s="1"/>
  <c r="O63" i="5" s="1"/>
  <c r="E12" i="5"/>
  <c r="G3" i="5"/>
  <c r="G4" i="5"/>
  <c r="H4" i="5" s="1"/>
  <c r="I4" i="5" s="1"/>
  <c r="J4" i="5" s="1"/>
  <c r="K4" i="5" s="1"/>
  <c r="L4" i="5" s="1"/>
  <c r="M4" i="5" s="1"/>
  <c r="N4" i="5" s="1"/>
  <c r="O4" i="5" s="1"/>
  <c r="O46" i="5" s="1"/>
  <c r="G9" i="5"/>
  <c r="H9" i="5" s="1"/>
  <c r="I9" i="5" s="1"/>
  <c r="J9" i="5" s="1"/>
  <c r="K9" i="5" s="1"/>
  <c r="L9" i="5" s="1"/>
  <c r="M9" i="5" s="1"/>
  <c r="N9" i="5" s="1"/>
  <c r="O9" i="5" s="1"/>
  <c r="O51" i="5" s="1"/>
  <c r="G14" i="5"/>
  <c r="H14" i="5" s="1"/>
  <c r="I14" i="5" s="1"/>
  <c r="J14" i="5" s="1"/>
  <c r="K14" i="5" s="1"/>
  <c r="L14" i="5" s="1"/>
  <c r="M14" i="5" s="1"/>
  <c r="N14" i="5" s="1"/>
  <c r="O14" i="5" s="1"/>
  <c r="O56" i="5" s="1"/>
  <c r="G17" i="5"/>
  <c r="H17" i="5" s="1"/>
  <c r="I17" i="5" s="1"/>
  <c r="J17" i="5" s="1"/>
  <c r="K17" i="5" s="1"/>
  <c r="L17" i="5" s="1"/>
  <c r="M17" i="5" s="1"/>
  <c r="N17" i="5" s="1"/>
  <c r="O17" i="5" s="1"/>
  <c r="O59" i="5" s="1"/>
  <c r="G18" i="5"/>
  <c r="H18" i="5" s="1"/>
  <c r="I18" i="5" s="1"/>
  <c r="J18" i="5" s="1"/>
  <c r="K18" i="5" s="1"/>
  <c r="L18" i="5" s="1"/>
  <c r="M18" i="5" s="1"/>
  <c r="N18" i="5" s="1"/>
  <c r="O18" i="5" s="1"/>
  <c r="O60" i="5" s="1"/>
  <c r="G19" i="5"/>
  <c r="H19" i="5" s="1"/>
  <c r="I19" i="5" s="1"/>
  <c r="J19" i="5" s="1"/>
  <c r="K19" i="5" s="1"/>
  <c r="L19" i="5" s="1"/>
  <c r="M19" i="5" s="1"/>
  <c r="N19" i="5" s="1"/>
  <c r="O19" i="5" s="1"/>
  <c r="O61" i="5" s="1"/>
  <c r="G33" i="5"/>
  <c r="H33" i="5" s="1"/>
  <c r="I33" i="5" s="1"/>
  <c r="J33" i="5" s="1"/>
  <c r="K33" i="5" s="1"/>
  <c r="L33" i="5" s="1"/>
  <c r="M33" i="5" s="1"/>
  <c r="N33" i="5" s="1"/>
  <c r="O33" i="5" s="1"/>
  <c r="O75" i="5" s="1"/>
  <c r="G35" i="5"/>
  <c r="H35" i="5" s="1"/>
  <c r="I35" i="5" s="1"/>
  <c r="J35" i="5" s="1"/>
  <c r="K35" i="5" s="1"/>
  <c r="L35" i="5" s="1"/>
  <c r="M35" i="5" s="1"/>
  <c r="N35" i="5" s="1"/>
  <c r="O35" i="5" s="1"/>
  <c r="O77" i="5" s="1"/>
  <c r="G37" i="5"/>
  <c r="H37" i="5" s="1"/>
  <c r="I37" i="5" s="1"/>
  <c r="J37" i="5" s="1"/>
  <c r="K37" i="5" s="1"/>
  <c r="L37" i="5" s="1"/>
  <c r="M37" i="5" s="1"/>
  <c r="N37" i="5" s="1"/>
  <c r="O37" i="5" s="1"/>
  <c r="O79" i="5" s="1"/>
  <c r="G41" i="5"/>
  <c r="H41" i="5" s="1"/>
  <c r="I41" i="5" s="1"/>
  <c r="J41" i="5" s="1"/>
  <c r="K41" i="5" s="1"/>
  <c r="L41" i="5" s="1"/>
  <c r="M41" i="5" s="1"/>
  <c r="N41" i="5" s="1"/>
  <c r="O41" i="5" s="1"/>
  <c r="O83" i="5" s="1"/>
  <c r="D42" i="5"/>
  <c r="D43" i="5" s="1"/>
  <c r="C42" i="5"/>
  <c r="C43" i="5" s="1"/>
  <c r="B42" i="5"/>
  <c r="B43" i="5" s="1"/>
  <c r="C4" i="7"/>
  <c r="C5" i="7"/>
  <c r="C6" i="7"/>
  <c r="C3" i="7"/>
  <c r="A15" i="7"/>
  <c r="A16" i="7"/>
  <c r="A17" i="7"/>
  <c r="A18" i="7"/>
  <c r="A19" i="7"/>
  <c r="A20" i="7"/>
  <c r="A21" i="7"/>
  <c r="A3" i="7"/>
  <c r="A4" i="7"/>
  <c r="A5" i="7"/>
  <c r="A6" i="7"/>
  <c r="A7" i="7"/>
  <c r="A9" i="7"/>
  <c r="A10" i="7"/>
  <c r="A11" i="7"/>
  <c r="A12" i="7"/>
  <c r="A13" i="7"/>
  <c r="A14" i="7"/>
  <c r="A8" i="7"/>
  <c r="C25" i="6"/>
  <c r="C23" i="6"/>
  <c r="C24" i="6"/>
  <c r="C26" i="6"/>
  <c r="C22" i="6"/>
  <c r="C19" i="6"/>
  <c r="C20" i="6"/>
  <c r="C21" i="6"/>
  <c r="C18" i="6"/>
  <c r="C14" i="6"/>
  <c r="C15" i="6"/>
  <c r="C16" i="6"/>
  <c r="C17" i="6"/>
  <c r="C13" i="6"/>
  <c r="D15" i="6"/>
  <c r="D16" i="6"/>
  <c r="D17" i="6"/>
  <c r="D13" i="6"/>
  <c r="D14" i="6"/>
  <c r="E6" i="6"/>
  <c r="H74" i="5" l="1"/>
  <c r="H68" i="5"/>
  <c r="Q5" i="5"/>
  <c r="R5" i="5" s="1"/>
  <c r="S5" i="5" s="1"/>
  <c r="S47" i="5" s="1"/>
  <c r="H3" i="5"/>
  <c r="I3" i="5" s="1"/>
  <c r="J3" i="5" s="1"/>
  <c r="K3" i="5" s="1"/>
  <c r="L3" i="5" s="1"/>
  <c r="M3" i="5" s="1"/>
  <c r="N3" i="5" s="1"/>
  <c r="O23" i="5"/>
  <c r="O65" i="5" s="1"/>
  <c r="N65" i="5"/>
  <c r="H80" i="5"/>
  <c r="J73" i="5"/>
  <c r="L48" i="5"/>
  <c r="J79" i="5"/>
  <c r="L72" i="5"/>
  <c r="H56" i="5"/>
  <c r="N47" i="5"/>
  <c r="N71" i="5"/>
  <c r="Q27" i="5"/>
  <c r="Q69" i="5" s="1"/>
  <c r="Q14" i="5"/>
  <c r="Q56" i="5" s="1"/>
  <c r="N77" i="5"/>
  <c r="H62" i="5"/>
  <c r="P46" i="5"/>
  <c r="P76" i="5"/>
  <c r="J61" i="5"/>
  <c r="N53" i="5"/>
  <c r="G83" i="5"/>
  <c r="P82" i="5"/>
  <c r="L60" i="5"/>
  <c r="J67" i="5"/>
  <c r="N59" i="5"/>
  <c r="G10" i="5"/>
  <c r="Q10" i="5"/>
  <c r="P52" i="5"/>
  <c r="G36" i="5"/>
  <c r="P78" i="5"/>
  <c r="Q36" i="5"/>
  <c r="H8" i="5"/>
  <c r="G50" i="5"/>
  <c r="G15" i="5"/>
  <c r="P57" i="5"/>
  <c r="Q15" i="5"/>
  <c r="G16" i="5"/>
  <c r="P58" i="5"/>
  <c r="Q16" i="5"/>
  <c r="G28" i="5"/>
  <c r="P70" i="5"/>
  <c r="Q28" i="5"/>
  <c r="G24" i="5"/>
  <c r="Q24" i="5"/>
  <c r="P66" i="5"/>
  <c r="G12" i="5"/>
  <c r="P54" i="5"/>
  <c r="Q12" i="5"/>
  <c r="G13" i="5"/>
  <c r="Q13" i="5"/>
  <c r="P55" i="5"/>
  <c r="G7" i="5"/>
  <c r="Q7" i="5"/>
  <c r="P49" i="5"/>
  <c r="Q39" i="5"/>
  <c r="Q30" i="5"/>
  <c r="Q17" i="5"/>
  <c r="L82" i="5"/>
  <c r="N81" i="5"/>
  <c r="P80" i="5"/>
  <c r="J77" i="5"/>
  <c r="L76" i="5"/>
  <c r="N75" i="5"/>
  <c r="P74" i="5"/>
  <c r="H72" i="5"/>
  <c r="J71" i="5"/>
  <c r="N69" i="5"/>
  <c r="P68" i="5"/>
  <c r="J65" i="5"/>
  <c r="L64" i="5"/>
  <c r="N63" i="5"/>
  <c r="P62" i="5"/>
  <c r="H60" i="5"/>
  <c r="J59" i="5"/>
  <c r="P56" i="5"/>
  <c r="J53" i="5"/>
  <c r="N51" i="5"/>
  <c r="P50" i="5"/>
  <c r="H48" i="5"/>
  <c r="J47" i="5"/>
  <c r="L46" i="5"/>
  <c r="K83" i="5"/>
  <c r="Q34" i="5"/>
  <c r="Q21" i="5"/>
  <c r="Q8" i="5"/>
  <c r="K82" i="5"/>
  <c r="M81" i="5"/>
  <c r="I77" i="5"/>
  <c r="K76" i="5"/>
  <c r="M75" i="5"/>
  <c r="G72" i="5"/>
  <c r="I71" i="5"/>
  <c r="M69" i="5"/>
  <c r="I65" i="5"/>
  <c r="K64" i="5"/>
  <c r="M63" i="5"/>
  <c r="G60" i="5"/>
  <c r="I59" i="5"/>
  <c r="I53" i="5"/>
  <c r="M51" i="5"/>
  <c r="G48" i="5"/>
  <c r="I47" i="5"/>
  <c r="K46" i="5"/>
  <c r="L83" i="5"/>
  <c r="Q3" i="5"/>
  <c r="Q38" i="5"/>
  <c r="Q25" i="5"/>
  <c r="J82" i="5"/>
  <c r="L81" i="5"/>
  <c r="N80" i="5"/>
  <c r="P79" i="5"/>
  <c r="H77" i="5"/>
  <c r="J76" i="5"/>
  <c r="L75" i="5"/>
  <c r="N74" i="5"/>
  <c r="P73" i="5"/>
  <c r="H71" i="5"/>
  <c r="L69" i="5"/>
  <c r="N68" i="5"/>
  <c r="P67" i="5"/>
  <c r="H65" i="5"/>
  <c r="J64" i="5"/>
  <c r="L63" i="5"/>
  <c r="N62" i="5"/>
  <c r="P61" i="5"/>
  <c r="H59" i="5"/>
  <c r="N56" i="5"/>
  <c r="H53" i="5"/>
  <c r="L51" i="5"/>
  <c r="H47" i="5"/>
  <c r="J46" i="5"/>
  <c r="M83" i="5"/>
  <c r="Q29" i="5"/>
  <c r="I82" i="5"/>
  <c r="K81" i="5"/>
  <c r="M80" i="5"/>
  <c r="G77" i="5"/>
  <c r="I76" i="5"/>
  <c r="K75" i="5"/>
  <c r="M74" i="5"/>
  <c r="G71" i="5"/>
  <c r="K69" i="5"/>
  <c r="M68" i="5"/>
  <c r="G65" i="5"/>
  <c r="I64" i="5"/>
  <c r="K63" i="5"/>
  <c r="M62" i="5"/>
  <c r="G59" i="5"/>
  <c r="M56" i="5"/>
  <c r="G53" i="5"/>
  <c r="K51" i="5"/>
  <c r="G47" i="5"/>
  <c r="I46" i="5"/>
  <c r="N83" i="5"/>
  <c r="Q33" i="5"/>
  <c r="Q20" i="5"/>
  <c r="Q11" i="5"/>
  <c r="G45" i="5"/>
  <c r="P45" i="5"/>
  <c r="H82" i="5"/>
  <c r="J81" i="5"/>
  <c r="L80" i="5"/>
  <c r="N79" i="5"/>
  <c r="H76" i="5"/>
  <c r="J75" i="5"/>
  <c r="L74" i="5"/>
  <c r="N73" i="5"/>
  <c r="P72" i="5"/>
  <c r="J69" i="5"/>
  <c r="L68" i="5"/>
  <c r="N67" i="5"/>
  <c r="H64" i="5"/>
  <c r="J63" i="5"/>
  <c r="L62" i="5"/>
  <c r="N61" i="5"/>
  <c r="P60" i="5"/>
  <c r="L56" i="5"/>
  <c r="J51" i="5"/>
  <c r="P48" i="5"/>
  <c r="H46" i="5"/>
  <c r="Q37" i="5"/>
  <c r="G82" i="5"/>
  <c r="I81" i="5"/>
  <c r="K80" i="5"/>
  <c r="M79" i="5"/>
  <c r="G76" i="5"/>
  <c r="I75" i="5"/>
  <c r="K74" i="5"/>
  <c r="M73" i="5"/>
  <c r="I69" i="5"/>
  <c r="K68" i="5"/>
  <c r="M67" i="5"/>
  <c r="G64" i="5"/>
  <c r="I63" i="5"/>
  <c r="K62" i="5"/>
  <c r="M61" i="5"/>
  <c r="K56" i="5"/>
  <c r="I51" i="5"/>
  <c r="G46" i="5"/>
  <c r="P83" i="5"/>
  <c r="Q19" i="5"/>
  <c r="Q6" i="5"/>
  <c r="H81" i="5"/>
  <c r="J80" i="5"/>
  <c r="L79" i="5"/>
  <c r="P77" i="5"/>
  <c r="H75" i="5"/>
  <c r="J74" i="5"/>
  <c r="L73" i="5"/>
  <c r="N72" i="5"/>
  <c r="P71" i="5"/>
  <c r="H69" i="5"/>
  <c r="J68" i="5"/>
  <c r="L67" i="5"/>
  <c r="P65" i="5"/>
  <c r="H63" i="5"/>
  <c r="J62" i="5"/>
  <c r="L61" i="5"/>
  <c r="N60" i="5"/>
  <c r="P59" i="5"/>
  <c r="J56" i="5"/>
  <c r="P53" i="5"/>
  <c r="H51" i="5"/>
  <c r="N48" i="5"/>
  <c r="P47" i="5"/>
  <c r="Q41" i="5"/>
  <c r="Q32" i="5"/>
  <c r="R27" i="5"/>
  <c r="Q23" i="5"/>
  <c r="R14" i="5"/>
  <c r="G81" i="5"/>
  <c r="I80" i="5"/>
  <c r="K79" i="5"/>
  <c r="G75" i="5"/>
  <c r="I74" i="5"/>
  <c r="K73" i="5"/>
  <c r="M72" i="5"/>
  <c r="G69" i="5"/>
  <c r="I68" i="5"/>
  <c r="K67" i="5"/>
  <c r="G63" i="5"/>
  <c r="I62" i="5"/>
  <c r="K61" i="5"/>
  <c r="M60" i="5"/>
  <c r="I56" i="5"/>
  <c r="G51" i="5"/>
  <c r="M48" i="5"/>
  <c r="Q31" i="5"/>
  <c r="Q18" i="5"/>
  <c r="G80" i="5"/>
  <c r="I79" i="5"/>
  <c r="M77" i="5"/>
  <c r="G74" i="5"/>
  <c r="I73" i="5"/>
  <c r="K72" i="5"/>
  <c r="M71" i="5"/>
  <c r="G68" i="5"/>
  <c r="I67" i="5"/>
  <c r="M65" i="5"/>
  <c r="G62" i="5"/>
  <c r="I61" i="5"/>
  <c r="K60" i="5"/>
  <c r="M59" i="5"/>
  <c r="G56" i="5"/>
  <c r="M53" i="5"/>
  <c r="K48" i="5"/>
  <c r="M47" i="5"/>
  <c r="H83" i="5"/>
  <c r="Q40" i="5"/>
  <c r="Q35" i="5"/>
  <c r="Q22" i="5"/>
  <c r="Q9" i="5"/>
  <c r="N82" i="5"/>
  <c r="P81" i="5"/>
  <c r="H79" i="5"/>
  <c r="L77" i="5"/>
  <c r="N76" i="5"/>
  <c r="P75" i="5"/>
  <c r="H73" i="5"/>
  <c r="J72" i="5"/>
  <c r="L71" i="5"/>
  <c r="P69" i="5"/>
  <c r="H67" i="5"/>
  <c r="L65" i="5"/>
  <c r="N64" i="5"/>
  <c r="P63" i="5"/>
  <c r="H61" i="5"/>
  <c r="J60" i="5"/>
  <c r="L59" i="5"/>
  <c r="L53" i="5"/>
  <c r="P51" i="5"/>
  <c r="J48" i="5"/>
  <c r="L47" i="5"/>
  <c r="N46" i="5"/>
  <c r="I83" i="5"/>
  <c r="P64" i="5"/>
  <c r="Q26" i="5"/>
  <c r="Q4" i="5"/>
  <c r="M82" i="5"/>
  <c r="G79" i="5"/>
  <c r="K77" i="5"/>
  <c r="M76" i="5"/>
  <c r="G73" i="5"/>
  <c r="I72" i="5"/>
  <c r="K71" i="5"/>
  <c r="G67" i="5"/>
  <c r="K65" i="5"/>
  <c r="M64" i="5"/>
  <c r="G61" i="5"/>
  <c r="I60" i="5"/>
  <c r="K59" i="5"/>
  <c r="K53" i="5"/>
  <c r="I48" i="5"/>
  <c r="K47" i="5"/>
  <c r="M46" i="5"/>
  <c r="J83" i="5"/>
  <c r="E42" i="5"/>
  <c r="E43" i="5" s="1"/>
  <c r="B44" i="5" s="1"/>
  <c r="F42" i="5"/>
  <c r="F43" i="5" s="1"/>
  <c r="P42" i="5"/>
  <c r="P43" i="5" s="1"/>
  <c r="R47" i="5" l="1"/>
  <c r="Q47" i="5"/>
  <c r="G42" i="5"/>
  <c r="G43" i="5" s="1"/>
  <c r="M45" i="5"/>
  <c r="O3" i="5"/>
  <c r="O45" i="5" s="1"/>
  <c r="N45" i="5"/>
  <c r="L45" i="5"/>
  <c r="J45" i="5"/>
  <c r="I45" i="5"/>
  <c r="H45" i="5"/>
  <c r="K45" i="5"/>
  <c r="Q80" i="5"/>
  <c r="R38" i="5"/>
  <c r="R40" i="5"/>
  <c r="Q82" i="5"/>
  <c r="R30" i="5"/>
  <c r="Q72" i="5"/>
  <c r="R23" i="5"/>
  <c r="Q65" i="5"/>
  <c r="Q42" i="5"/>
  <c r="Q43" i="5" s="1"/>
  <c r="R7" i="5"/>
  <c r="Q49" i="5"/>
  <c r="R24" i="5"/>
  <c r="Q66" i="5"/>
  <c r="I8" i="5"/>
  <c r="H50" i="5"/>
  <c r="R4" i="5"/>
  <c r="Q46" i="5"/>
  <c r="P85" i="5"/>
  <c r="H24" i="5"/>
  <c r="G66" i="5"/>
  <c r="R56" i="5"/>
  <c r="S14" i="5"/>
  <c r="S56" i="5" s="1"/>
  <c r="S27" i="5"/>
  <c r="S69" i="5" s="1"/>
  <c r="R69" i="5"/>
  <c r="H7" i="5"/>
  <c r="G49" i="5"/>
  <c r="R36" i="5"/>
  <c r="Q78" i="5"/>
  <c r="Q68" i="5"/>
  <c r="R26" i="5"/>
  <c r="Q74" i="5"/>
  <c r="R32" i="5"/>
  <c r="Q70" i="5"/>
  <c r="R28" i="5"/>
  <c r="Q83" i="5"/>
  <c r="R41" i="5"/>
  <c r="R37" i="5"/>
  <c r="Q79" i="5"/>
  <c r="Q53" i="5"/>
  <c r="R11" i="5"/>
  <c r="Q71" i="5"/>
  <c r="R29" i="5"/>
  <c r="Q50" i="5"/>
  <c r="R8" i="5"/>
  <c r="R13" i="5"/>
  <c r="Q55" i="5"/>
  <c r="H36" i="5"/>
  <c r="G78" i="5"/>
  <c r="R39" i="5"/>
  <c r="Q81" i="5"/>
  <c r="R6" i="5"/>
  <c r="Q48" i="5"/>
  <c r="H13" i="5"/>
  <c r="G55" i="5"/>
  <c r="H28" i="5"/>
  <c r="G70" i="5"/>
  <c r="H15" i="5"/>
  <c r="G57" i="5"/>
  <c r="Q51" i="5"/>
  <c r="R9" i="5"/>
  <c r="R18" i="5"/>
  <c r="Q60" i="5"/>
  <c r="Q62" i="5"/>
  <c r="R20" i="5"/>
  <c r="Q63" i="5"/>
  <c r="R21" i="5"/>
  <c r="R22" i="5"/>
  <c r="Q64" i="5"/>
  <c r="R31" i="5"/>
  <c r="Q73" i="5"/>
  <c r="R19" i="5"/>
  <c r="Q61" i="5"/>
  <c r="Q75" i="5"/>
  <c r="R33" i="5"/>
  <c r="Q67" i="5"/>
  <c r="R25" i="5"/>
  <c r="Q76" i="5"/>
  <c r="R34" i="5"/>
  <c r="Q54" i="5"/>
  <c r="R12" i="5"/>
  <c r="Q58" i="5"/>
  <c r="R16" i="5"/>
  <c r="Q52" i="5"/>
  <c r="R10" i="5"/>
  <c r="R3" i="5"/>
  <c r="Q45" i="5"/>
  <c r="H12" i="5"/>
  <c r="G54" i="5"/>
  <c r="H16" i="5"/>
  <c r="G58" i="5"/>
  <c r="H10" i="5"/>
  <c r="G52" i="5"/>
  <c r="R35" i="5"/>
  <c r="Q77" i="5"/>
  <c r="R17" i="5"/>
  <c r="Q59" i="5"/>
  <c r="Q57" i="5"/>
  <c r="R15" i="5"/>
  <c r="G85" i="5" l="1"/>
  <c r="S31" i="5"/>
  <c r="S73" i="5" s="1"/>
  <c r="R73" i="5"/>
  <c r="I15" i="5"/>
  <c r="H57" i="5"/>
  <c r="S13" i="5"/>
  <c r="S55" i="5" s="1"/>
  <c r="R55" i="5"/>
  <c r="R82" i="5"/>
  <c r="S40" i="5"/>
  <c r="S82" i="5" s="1"/>
  <c r="I10" i="5"/>
  <c r="H52" i="5"/>
  <c r="R54" i="5"/>
  <c r="S12" i="5"/>
  <c r="S54" i="5" s="1"/>
  <c r="S8" i="5"/>
  <c r="S50" i="5" s="1"/>
  <c r="R50" i="5"/>
  <c r="I7" i="5"/>
  <c r="H49" i="5"/>
  <c r="H42" i="5"/>
  <c r="H43" i="5" s="1"/>
  <c r="J8" i="5"/>
  <c r="I50" i="5"/>
  <c r="S38" i="5"/>
  <c r="S80" i="5" s="1"/>
  <c r="R80" i="5"/>
  <c r="R64" i="5"/>
  <c r="S22" i="5"/>
  <c r="S64" i="5" s="1"/>
  <c r="I28" i="5"/>
  <c r="H70" i="5"/>
  <c r="R70" i="5"/>
  <c r="S28" i="5"/>
  <c r="S70" i="5" s="1"/>
  <c r="I16" i="5"/>
  <c r="H58" i="5"/>
  <c r="S34" i="5"/>
  <c r="S76" i="5" s="1"/>
  <c r="R76" i="5"/>
  <c r="S21" i="5"/>
  <c r="S63" i="5" s="1"/>
  <c r="R63" i="5"/>
  <c r="R71" i="5"/>
  <c r="S29" i="5"/>
  <c r="S71" i="5" s="1"/>
  <c r="S24" i="5"/>
  <c r="S66" i="5" s="1"/>
  <c r="R66" i="5"/>
  <c r="I12" i="5"/>
  <c r="H54" i="5"/>
  <c r="R67" i="5"/>
  <c r="S25" i="5"/>
  <c r="S67" i="5" s="1"/>
  <c r="R62" i="5"/>
  <c r="S20" i="5"/>
  <c r="S62" i="5" s="1"/>
  <c r="S11" i="5"/>
  <c r="S53" i="5" s="1"/>
  <c r="R53" i="5"/>
  <c r="S7" i="5"/>
  <c r="S49" i="5" s="1"/>
  <c r="R49" i="5"/>
  <c r="S15" i="5"/>
  <c r="S57" i="5" s="1"/>
  <c r="R57" i="5"/>
  <c r="S6" i="5"/>
  <c r="S48" i="5" s="1"/>
  <c r="R48" i="5"/>
  <c r="R74" i="5"/>
  <c r="S32" i="5"/>
  <c r="S74" i="5" s="1"/>
  <c r="Q85" i="5"/>
  <c r="S3" i="5"/>
  <c r="R45" i="5"/>
  <c r="R42" i="5"/>
  <c r="R43" i="5" s="1"/>
  <c r="S23" i="5"/>
  <c r="S65" i="5" s="1"/>
  <c r="R65" i="5"/>
  <c r="S17" i="5"/>
  <c r="S59" i="5" s="1"/>
  <c r="R59" i="5"/>
  <c r="R52" i="5"/>
  <c r="S10" i="5"/>
  <c r="S52" i="5" s="1"/>
  <c r="R51" i="5"/>
  <c r="S9" i="5"/>
  <c r="S51" i="5" s="1"/>
  <c r="I13" i="5"/>
  <c r="H55" i="5"/>
  <c r="S33" i="5"/>
  <c r="S75" i="5" s="1"/>
  <c r="R75" i="5"/>
  <c r="I24" i="5"/>
  <c r="H66" i="5"/>
  <c r="S18" i="5"/>
  <c r="S60" i="5" s="1"/>
  <c r="R60" i="5"/>
  <c r="S39" i="5"/>
  <c r="S81" i="5" s="1"/>
  <c r="R81" i="5"/>
  <c r="S37" i="5"/>
  <c r="S79" i="5" s="1"/>
  <c r="R79" i="5"/>
  <c r="R68" i="5"/>
  <c r="S26" i="5"/>
  <c r="S68" i="5" s="1"/>
  <c r="S19" i="5"/>
  <c r="S61" i="5" s="1"/>
  <c r="R61" i="5"/>
  <c r="I36" i="5"/>
  <c r="H78" i="5"/>
  <c r="R83" i="5"/>
  <c r="S41" i="5"/>
  <c r="S83" i="5" s="1"/>
  <c r="S4" i="5"/>
  <c r="S46" i="5" s="1"/>
  <c r="R46" i="5"/>
  <c r="S30" i="5"/>
  <c r="S72" i="5" s="1"/>
  <c r="R72" i="5"/>
  <c r="S35" i="5"/>
  <c r="S77" i="5" s="1"/>
  <c r="R77" i="5"/>
  <c r="R58" i="5"/>
  <c r="S16" i="5"/>
  <c r="S58" i="5" s="1"/>
  <c r="S36" i="5"/>
  <c r="S78" i="5" s="1"/>
  <c r="R78" i="5"/>
  <c r="H85" i="5" l="1"/>
  <c r="S45" i="5"/>
  <c r="S85" i="5" s="1"/>
  <c r="S42" i="5"/>
  <c r="S43" i="5" s="1"/>
  <c r="R85" i="5"/>
  <c r="J13" i="5"/>
  <c r="I55" i="5"/>
  <c r="K8" i="5"/>
  <c r="J50" i="5"/>
  <c r="J10" i="5"/>
  <c r="I52" i="5"/>
  <c r="J7" i="5"/>
  <c r="I49" i="5"/>
  <c r="I42" i="5"/>
  <c r="I43" i="5" s="1"/>
  <c r="J12" i="5"/>
  <c r="I54" i="5"/>
  <c r="J36" i="5"/>
  <c r="I78" i="5"/>
  <c r="J16" i="5"/>
  <c r="I58" i="5"/>
  <c r="J15" i="5"/>
  <c r="I57" i="5"/>
  <c r="J24" i="5"/>
  <c r="I66" i="5"/>
  <c r="J28" i="5"/>
  <c r="I70" i="5"/>
  <c r="K28" i="5" l="1"/>
  <c r="J70" i="5"/>
  <c r="I85" i="5"/>
  <c r="K15" i="5"/>
  <c r="J57" i="5"/>
  <c r="K10" i="5"/>
  <c r="J52" i="5"/>
  <c r="K16" i="5"/>
  <c r="J58" i="5"/>
  <c r="L8" i="5"/>
  <c r="K50" i="5"/>
  <c r="K12" i="5"/>
  <c r="J54" i="5"/>
  <c r="K7" i="5"/>
  <c r="J49" i="5"/>
  <c r="J42" i="5"/>
  <c r="J43" i="5" s="1"/>
  <c r="K24" i="5"/>
  <c r="J66" i="5"/>
  <c r="K36" i="5"/>
  <c r="J78" i="5"/>
  <c r="K13" i="5"/>
  <c r="J55" i="5"/>
  <c r="M8" i="5" l="1"/>
  <c r="L50" i="5"/>
  <c r="L13" i="5"/>
  <c r="K55" i="5"/>
  <c r="L16" i="5"/>
  <c r="K58" i="5"/>
  <c r="L12" i="5"/>
  <c r="K54" i="5"/>
  <c r="L28" i="5"/>
  <c r="K70" i="5"/>
  <c r="L36" i="5"/>
  <c r="K78" i="5"/>
  <c r="L10" i="5"/>
  <c r="K52" i="5"/>
  <c r="L24" i="5"/>
  <c r="K66" i="5"/>
  <c r="L15" i="5"/>
  <c r="K57" i="5"/>
  <c r="J85" i="5"/>
  <c r="L7" i="5"/>
  <c r="K49" i="5"/>
  <c r="K42" i="5"/>
  <c r="K43" i="5" s="1"/>
  <c r="K85" i="5" l="1"/>
  <c r="M12" i="5"/>
  <c r="L54" i="5"/>
  <c r="M36" i="5"/>
  <c r="L78" i="5"/>
  <c r="M15" i="5"/>
  <c r="L57" i="5"/>
  <c r="M16" i="5"/>
  <c r="L58" i="5"/>
  <c r="M7" i="5"/>
  <c r="L49" i="5"/>
  <c r="L42" i="5"/>
  <c r="L43" i="5" s="1"/>
  <c r="M28" i="5"/>
  <c r="L70" i="5"/>
  <c r="M24" i="5"/>
  <c r="L66" i="5"/>
  <c r="M13" i="5"/>
  <c r="L55" i="5"/>
  <c r="M10" i="5"/>
  <c r="L52" i="5"/>
  <c r="N8" i="5"/>
  <c r="M50" i="5"/>
  <c r="N28" i="5" l="1"/>
  <c r="M70" i="5"/>
  <c r="N7" i="5"/>
  <c r="M49" i="5"/>
  <c r="M42" i="5"/>
  <c r="M43" i="5" s="1"/>
  <c r="N16" i="5"/>
  <c r="M58" i="5"/>
  <c r="N15" i="5"/>
  <c r="M57" i="5"/>
  <c r="N13" i="5"/>
  <c r="M55" i="5"/>
  <c r="N36" i="5"/>
  <c r="M78" i="5"/>
  <c r="L85" i="5"/>
  <c r="O8" i="5"/>
  <c r="O50" i="5" s="1"/>
  <c r="N50" i="5"/>
  <c r="N10" i="5"/>
  <c r="M52" i="5"/>
  <c r="N24" i="5"/>
  <c r="M66" i="5"/>
  <c r="N12" i="5"/>
  <c r="M54" i="5"/>
  <c r="O36" i="5" l="1"/>
  <c r="O78" i="5" s="1"/>
  <c r="N78" i="5"/>
  <c r="O15" i="5"/>
  <c r="O57" i="5" s="1"/>
  <c r="N57" i="5"/>
  <c r="O13" i="5"/>
  <c r="O55" i="5" s="1"/>
  <c r="N55" i="5"/>
  <c r="O16" i="5"/>
  <c r="O58" i="5" s="1"/>
  <c r="N58" i="5"/>
  <c r="M85" i="5"/>
  <c r="O7" i="5"/>
  <c r="N49" i="5"/>
  <c r="N42" i="5"/>
  <c r="N43" i="5" s="1"/>
  <c r="O24" i="5"/>
  <c r="O66" i="5" s="1"/>
  <c r="N66" i="5"/>
  <c r="O10" i="5"/>
  <c r="O52" i="5" s="1"/>
  <c r="N52" i="5"/>
  <c r="O12" i="5"/>
  <c r="O54" i="5" s="1"/>
  <c r="N54" i="5"/>
  <c r="O28" i="5"/>
  <c r="O70" i="5" s="1"/>
  <c r="N70" i="5"/>
  <c r="N85" i="5" l="1"/>
  <c r="O49" i="5"/>
  <c r="O85" i="5" s="1"/>
  <c r="O42" i="5"/>
  <c r="O43" i="5" s="1"/>
  <c r="F86" i="5" l="1"/>
</calcChain>
</file>

<file path=xl/sharedStrings.xml><?xml version="1.0" encoding="utf-8"?>
<sst xmlns="http://schemas.openxmlformats.org/spreadsheetml/2006/main" count="443" uniqueCount="409">
  <si>
    <t>00</t>
  </si>
  <si>
    <t>01</t>
  </si>
  <si>
    <t>02</t>
  </si>
  <si>
    <t>03</t>
  </si>
  <si>
    <t>04</t>
  </si>
  <si>
    <t>Goal</t>
  </si>
  <si>
    <t>Up</t>
  </si>
  <si>
    <t>Obstacle</t>
  </si>
  <si>
    <t>Down</t>
  </si>
  <si>
    <t>Wall</t>
  </si>
  <si>
    <t>05</t>
  </si>
  <si>
    <t>10</t>
  </si>
  <si>
    <t>15</t>
  </si>
  <si>
    <t>20</t>
  </si>
  <si>
    <t>06</t>
  </si>
  <si>
    <t>07</t>
  </si>
  <si>
    <t>08</t>
  </si>
  <si>
    <t>09</t>
  </si>
  <si>
    <t>11</t>
  </si>
  <si>
    <t>12</t>
  </si>
  <si>
    <t>13</t>
  </si>
  <si>
    <t>14</t>
  </si>
  <si>
    <t>16</t>
  </si>
  <si>
    <t>17</t>
  </si>
  <si>
    <t>18</t>
  </si>
  <si>
    <t>19</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</si>
  <si>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</si>
  <si>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</si>
  <si>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</si>
  <si>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</si>
  <si>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</si>
  <si>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</si>
  <si>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</si>
  <si>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</si>
  <si>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</si>
  <si>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</si>
  <si>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</si>
  <si>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</si>
  <si>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</si>
  <si>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</si>
  <si>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</si>
  <si>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</si>
  <si>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</si>
  <si>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</si>
  <si>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</si>
  <si>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</si>
  <si>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</si>
  <si>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</si>
  <si>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</si>
  <si>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</si>
  <si>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</si>
  <si>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</si>
  <si>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</si>
  <si>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</si>
  <si>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</si>
  <si>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</si>
  <si>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</si>
  <si>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</si>
  <si>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</si>
  <si>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</si>
  <si>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</si>
  <si>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</si>
  <si>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</si>
  <si>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</si>
  <si>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</si>
  <si>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</si>
  <si>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</si>
  <si>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</si>
  <si>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</si>
  <si>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</si>
  <si>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</si>
  <si>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</si>
  <si>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</si>
  <si>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</si>
  <si>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</si>
  <si>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</si>
  <si>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Floor</t>
  </si>
  <si>
    <t>LeftRight</t>
  </si>
  <si>
    <t>UpDown</t>
  </si>
  <si>
    <t>ForBack</t>
  </si>
  <si>
    <t>Player Prefs</t>
  </si>
  <si>
    <t>levelCode</t>
  </si>
  <si>
    <t>Desc:</t>
  </si>
  <si>
    <t>Level Code is set in WebsiteScrapper.cs and is accessed in PasteData scene.  Its use is to transfer over the string data to the new scene to be loaded.</t>
  </si>
  <si>
    <t>speed</t>
  </si>
  <si>
    <t>Speed is set in WorldSpawner.cs and is accessed in ContinuousMovement(Scripts).  Its use is for determining the speed of the player in the loaded level.</t>
  </si>
  <si>
    <t>defURL</t>
  </si>
  <si>
    <t>Default URL is set in WebsiteScrapper.cs and is accessed in WebsiteScrapper.cs.  It is used to save developers time when debugging levels.</t>
  </si>
  <si>
    <t>debugOnStart</t>
  </si>
  <si>
    <t>Debug On Start is set in WebsiteScrapper.cs and is accessed in EEEEE scene.  It is used to determine if to run the PasteData scene at start or not.</t>
  </si>
  <si>
    <t>Random 1x1x1 Cubes</t>
  </si>
  <si>
    <t>Random1x1x1 Cubes</t>
  </si>
  <si>
    <t>RandomMovingTarget</t>
  </si>
  <si>
    <t>RandomMovingTargets</t>
  </si>
  <si>
    <t>2x Spin (Opp Direc)</t>
  </si>
  <si>
    <t>playerDifficuly</t>
  </si>
  <si>
    <t>Player Difficulty is set in the Settings scene and is accessed in the continuous movement script.  It is an int that is converted to a float by dividing by 5</t>
  </si>
  <si>
    <t>currentLevel</t>
  </si>
  <si>
    <t>currentLevel is the level that the player is currently on.  Accessed in the EEEEEE scene and Settings and is used throughout the game.</t>
  </si>
  <si>
    <t>Chunk 1:</t>
  </si>
  <si>
    <t xml:space="preserve">Chunk 2: </t>
  </si>
  <si>
    <t>Chunk 3:</t>
  </si>
  <si>
    <t>Chunk 0:</t>
  </si>
  <si>
    <t>Chunk 4:</t>
  </si>
  <si>
    <t>https://forum.unity.com/threads/multiple-materials-per-gameobject.137139/</t>
  </si>
  <si>
    <t>Global:</t>
  </si>
  <si>
    <t>Chunk 2:</t>
  </si>
  <si>
    <t>SkyBox</t>
  </si>
  <si>
    <t>MusicToPlay</t>
  </si>
  <si>
    <t>Speed</t>
  </si>
  <si>
    <t>Chunk3:</t>
  </si>
  <si>
    <t>LevelName</t>
  </si>
  <si>
    <t>Chunk4:</t>
  </si>
  <si>
    <t>Difficulty</t>
  </si>
  <si>
    <t>String</t>
  </si>
  <si>
    <t>Chunk5:</t>
  </si>
  <si>
    <t>LevelCreator</t>
  </si>
  <si>
    <t>VersionID</t>
  </si>
  <si>
    <t>Chunk 7:</t>
  </si>
  <si>
    <t>Chuck 6:</t>
  </si>
  <si>
    <t>DateCreated</t>
  </si>
  <si>
    <t>Area 0</t>
  </si>
  <si>
    <t>Position 1-3</t>
  </si>
  <si>
    <t>Rotation 4-6</t>
  </si>
  <si>
    <t>Scale 7-9</t>
  </si>
  <si>
    <t>Materials 10-11</t>
  </si>
  <si>
    <t>Material Value:</t>
  </si>
  <si>
    <t>Black</t>
  </si>
  <si>
    <t>LightGray</t>
  </si>
  <si>
    <t>Green</t>
  </si>
  <si>
    <t>Orange</t>
  </si>
  <si>
    <t>Purple</t>
  </si>
  <si>
    <t>Red</t>
  </si>
  <si>
    <t>RedTeel</t>
  </si>
  <si>
    <t>RedTeelPurpleBlack</t>
  </si>
  <si>
    <t>Teel</t>
  </si>
  <si>
    <t>Yellow</t>
  </si>
  <si>
    <t>Transparent Black</t>
  </si>
  <si>
    <t>Transparent LightGray</t>
  </si>
  <si>
    <t>Transparent Green</t>
  </si>
  <si>
    <t>Transparent Orange</t>
  </si>
  <si>
    <t>Transparent Purple</t>
  </si>
  <si>
    <t>Transparent Red</t>
  </si>
  <si>
    <t>Transparent RedTeel</t>
  </si>
  <si>
    <t>Transparent RedTeelPurpleBlack</t>
  </si>
  <si>
    <t>Transparent Teel</t>
  </si>
  <si>
    <t>Transparent Yellow</t>
  </si>
  <si>
    <t>Transparent 1</t>
  </si>
  <si>
    <t>Transparent 2</t>
  </si>
  <si>
    <t>Transparent 3</t>
  </si>
  <si>
    <t>Transparent 4</t>
  </si>
  <si>
    <t>Transparent 5</t>
  </si>
  <si>
    <t>Transparent 6</t>
  </si>
  <si>
    <t>Transparent 7</t>
  </si>
  <si>
    <t>Transparent 8</t>
  </si>
  <si>
    <t>SkyBoxValue:</t>
  </si>
  <si>
    <t>(Side View)</t>
  </si>
  <si>
    <t>(Random Distances)</t>
  </si>
  <si>
    <t>(Side View 2x)</t>
  </si>
  <si>
    <t>endlessScore</t>
  </si>
  <si>
    <t>endlessScore is the best score of the endless mode</t>
  </si>
  <si>
    <t>Spikes</t>
  </si>
  <si>
    <t>SpinningSpike</t>
  </si>
  <si>
    <t>hasBeatenGame</t>
  </si>
  <si>
    <t>Has Beaten Game is an int value of 1 or 0.  1 indicates that the player has beaten the game and a value of 0 indicates that the player has not beaten the game.</t>
  </si>
  <si>
    <t>curLevelSelect</t>
  </si>
  <si>
    <t>Currently level select is an int value of 1 or 0.  1 indicates that the player is currently doing the level select feature and wishes to return to the level select after beating a level.  The currentLevel pref should not be updated.  0 indicates normal gameplay.</t>
  </si>
  <si>
    <t>curLevelLevelSelect</t>
  </si>
  <si>
    <t>This value is the current level that the player is on for the level select.  It is important for saving on the number of settings scenes that are needed.</t>
  </si>
  <si>
    <t>Unused NOT WORKING</t>
  </si>
  <si>
    <t>Top-Down View</t>
  </si>
  <si>
    <t>Stairs</t>
  </si>
  <si>
    <t>newEndlessScore</t>
  </si>
  <si>
    <t>The highest score for the new endless mode</t>
  </si>
  <si>
    <t>finalEndlessScore</t>
  </si>
  <si>
    <t>stores the most recent endless score</t>
  </si>
  <si>
    <t>finalNewEndlessScore</t>
  </si>
  <si>
    <t>Stores the most recent newEndless score</t>
  </si>
  <si>
    <t>(levelID)</t>
  </si>
  <si>
    <t>levelID is not a player pref.  It is an int that stores the levelID for the given level.  It is used for the player in order to keep track of the amount of times they have beaten a level, their best time, deaths, etc.</t>
  </si>
  <si>
    <t>totalDeaths+(levelID)</t>
  </si>
  <si>
    <t>The amount of time the user has died on this level</t>
  </si>
  <si>
    <t>totalTime+(levelID)</t>
  </si>
  <si>
    <t>totalTime is the amount of time that the user has spent in total in the given level (float in seconds)</t>
  </si>
  <si>
    <t>fastestTime is the best time that the player has completed the given level (float in seconds)</t>
  </si>
  <si>
    <t>bestTime+(levelID)</t>
  </si>
  <si>
    <t>globalTime</t>
  </si>
  <si>
    <t>The amount of time the user has spent in the whole game</t>
  </si>
  <si>
    <t>globalDeaths</t>
  </si>
  <si>
    <t>The amount of times the user has died in the whole game</t>
  </si>
  <si>
    <t>introScene</t>
  </si>
  <si>
    <t>introScene is an int that is 1 if the player has seen the intro scene at the beginning.</t>
  </si>
  <si>
    <t>impossibleDifficuty is an int that is 1 if the player has beaten the game or not</t>
  </si>
  <si>
    <t>defaultMenu</t>
  </si>
  <si>
    <t>defaultMenu will be 1 if Galaxy, 2 if Walking, 3 etc etc.  Will be an int of 0 if there is no default yet.</t>
  </si>
  <si>
    <t>additionalHeight</t>
  </si>
  <si>
    <t>This is a float that stores the additional height in meters</t>
  </si>
  <si>
    <t>obstacleDifficulty</t>
  </si>
  <si>
    <t>Obstacle Difficulty is set in the settings scenes and is accessed in the platform mover scripts.  It is an int that is converted to a float by dividing by 5.</t>
  </si>
  <si>
    <t>currentSettingsMenu</t>
  </si>
  <si>
    <t>This is a string that will be the name of the scene to load if the user presses continue on the continue sphere.  Will be of the following values: "StoryMode", "Endless", "CustomLevel", "MenuSend", or "NewEndless"</t>
  </si>
  <si>
    <t>trailEffect</t>
  </si>
  <si>
    <t>This int will be 1 if enabled and 0 if non-enabled</t>
  </si>
  <si>
    <t>FPSVal</t>
  </si>
  <si>
    <t>SpeedSet</t>
  </si>
  <si>
    <t>SpeedCalc</t>
  </si>
  <si>
    <t>YellowWorld0</t>
  </si>
  <si>
    <t>YellowWorld1</t>
  </si>
  <si>
    <t>YellowWorld2</t>
  </si>
  <si>
    <t>YellowWorld3</t>
  </si>
  <si>
    <t>YellowWorld4</t>
  </si>
  <si>
    <t>BlueWorld0</t>
  </si>
  <si>
    <t>BlueWorld1</t>
  </si>
  <si>
    <t>BlueWorld2</t>
  </si>
  <si>
    <t>BlueWorld3</t>
  </si>
  <si>
    <t>BlueWorld4</t>
  </si>
  <si>
    <t>RedWorld1</t>
  </si>
  <si>
    <t>RedWorld2</t>
  </si>
  <si>
    <t>RedWorld3</t>
  </si>
  <si>
    <t>RedWorld4</t>
  </si>
  <si>
    <t>RedWorld5</t>
  </si>
  <si>
    <t>PurpleWorld1</t>
  </si>
  <si>
    <t>PurpleWorld2</t>
  </si>
  <si>
    <t>PurpleWorld3</t>
  </si>
  <si>
    <t>PurpleWorld4</t>
  </si>
  <si>
    <t>PurpleWorld5</t>
  </si>
  <si>
    <t>OrangeWorld1</t>
  </si>
  <si>
    <t>OrangeWorld2</t>
  </si>
  <si>
    <t>OrangeWorld3</t>
  </si>
  <si>
    <t>OrangeWorld4</t>
  </si>
  <si>
    <t>OrangeWorld5</t>
  </si>
  <si>
    <t>GreenWorld1</t>
  </si>
  <si>
    <t>GreenWorld2</t>
  </si>
  <si>
    <t>GreenWorld3</t>
  </si>
  <si>
    <t>GreenWorld4</t>
  </si>
  <si>
    <t>GreenWorld5</t>
  </si>
  <si>
    <t>BrownWorld1</t>
  </si>
  <si>
    <t>BrownWorld2</t>
  </si>
  <si>
    <t>BrownWorld3</t>
  </si>
  <si>
    <t>BrownWorld4</t>
  </si>
  <si>
    <t>BrownWorld5</t>
  </si>
  <si>
    <t>BlackWorld1</t>
  </si>
  <si>
    <t>BlackWorld2</t>
  </si>
  <si>
    <t>BlackWorld3</t>
  </si>
  <si>
    <t>BlackWorld4</t>
  </si>
  <si>
    <t>BlackWorld5</t>
  </si>
  <si>
    <t>currentScreenLevelSelect</t>
  </si>
  <si>
    <t>This value is the current screen for the level select.  This is a nice UI feature :) and it stores the current screen value as an int</t>
  </si>
  <si>
    <t>Players</t>
  </si>
  <si>
    <t>Reward</t>
  </si>
  <si>
    <t>100mg get lit</t>
  </si>
  <si>
    <t>Fund Owen to get his car</t>
  </si>
  <si>
    <t>Dab rig</t>
  </si>
  <si>
    <t>1000mg</t>
  </si>
  <si>
    <t>Invest in dividends and IVV</t>
  </si>
  <si>
    <t>Decorate Room</t>
  </si>
  <si>
    <t>PC Upgrade</t>
  </si>
  <si>
    <t>Buy house in Canada</t>
  </si>
  <si>
    <t>IVV and throw a massive party with friends for the first mil in new house</t>
  </si>
  <si>
    <t>ygrat</t>
  </si>
  <si>
    <t>If this value is 69420 then collisions will not reset the player position.  Can only be set through the settings menu.  Should not be found by player but it is what it is</t>
  </si>
  <si>
    <t>Set up scholarships and buy a meta quest pro</t>
  </si>
  <si>
    <t>10mg invest all in advertising</t>
  </si>
  <si>
    <t>Save 20k for future project and buy Unitree Go1 Dog</t>
  </si>
  <si>
    <t>IVV stocks</t>
  </si>
  <si>
    <t>Cocaine</t>
  </si>
  <si>
    <t>2000mg</t>
  </si>
  <si>
    <t>Perc of All Players</t>
  </si>
  <si>
    <t>Targy Level Developer Guide</t>
  </si>
  <si>
    <t>1x1 Cube</t>
  </si>
  <si>
    <t>1x1 Sphere</t>
  </si>
  <si>
    <t>10x10 Plane</t>
  </si>
  <si>
    <t>Outside Arch</t>
  </si>
  <si>
    <t>Inside Arch</t>
  </si>
  <si>
    <t>71</t>
  </si>
  <si>
    <t>Blocks</t>
  </si>
  <si>
    <t>Materials</t>
  </si>
  <si>
    <t>Yellow World Material</t>
  </si>
  <si>
    <t>Blue World Material</t>
  </si>
  <si>
    <t>0</t>
  </si>
  <si>
    <t>1</t>
  </si>
  <si>
    <t>2</t>
  </si>
  <si>
    <t>3</t>
  </si>
  <si>
    <t>4</t>
  </si>
  <si>
    <t>5</t>
  </si>
  <si>
    <t>6</t>
  </si>
  <si>
    <t>7</t>
  </si>
  <si>
    <t>8</t>
  </si>
  <si>
    <t>Custom RGB Val</t>
  </si>
  <si>
    <t>Red World Material</t>
  </si>
  <si>
    <t>Purple World Material</t>
  </si>
  <si>
    <t>Orange World Material</t>
  </si>
  <si>
    <t>Green World Material No Texture</t>
  </si>
  <si>
    <t>Bread World Material</t>
  </si>
  <si>
    <t>Black World Material</t>
  </si>
  <si>
    <t>Glass RGBA Val Material</t>
  </si>
  <si>
    <t>9</t>
  </si>
  <si>
    <t>Floor Material</t>
  </si>
  <si>
    <t>Shiny Disco RGB</t>
  </si>
  <si>
    <t>Cycling Colors</t>
  </si>
  <si>
    <t>1x1 Sphere with Rigidbody</t>
  </si>
  <si>
    <t>displayStatistics</t>
  </si>
  <si>
    <t>This is an int that will be 1 if the user wishes to display level statistics.  If 0 then stats won't display.  Disabled by default.</t>
  </si>
  <si>
    <t>fewestDeaths+(levelID)</t>
  </si>
  <si>
    <t>volume</t>
  </si>
  <si>
    <t>This is an int 0-100 that represents the percentage of the volume with 100 being loud and 0 being quiet</t>
  </si>
  <si>
    <t>TOSVersion</t>
  </si>
  <si>
    <t>TOSVersion is the int corresponding to the current TOS number.  Once the TOS has been seen then it will be the current tos value.</t>
  </si>
  <si>
    <t>Player Difficulty</t>
  </si>
  <si>
    <t>Obstacle Speed</t>
  </si>
  <si>
    <t>Fewest Deaths</t>
  </si>
  <si>
    <t>F</t>
  </si>
  <si>
    <t>D</t>
  </si>
  <si>
    <t>C</t>
  </si>
  <si>
    <t>B</t>
  </si>
  <si>
    <t>A</t>
  </si>
  <si>
    <t>S</t>
  </si>
  <si>
    <t>S+</t>
  </si>
  <si>
    <t>SS</t>
  </si>
  <si>
    <t>SS+</t>
  </si>
  <si>
    <t>A+</t>
  </si>
  <si>
    <t>F+</t>
  </si>
  <si>
    <t>D+</t>
  </si>
  <si>
    <t>C+</t>
  </si>
  <si>
    <t>B+</t>
  </si>
  <si>
    <t>*  y = (-1/45(x-90))</t>
  </si>
  <si>
    <t>Level 1</t>
  </si>
  <si>
    <t>Time</t>
  </si>
  <si>
    <t>Level 2</t>
  </si>
  <si>
    <t>Level 3</t>
  </si>
  <si>
    <t>Level 4</t>
  </si>
  <si>
    <t>Level 5</t>
  </si>
  <si>
    <t>Level 6</t>
  </si>
  <si>
    <t>Level 7</t>
  </si>
  <si>
    <t>Level 8</t>
  </si>
  <si>
    <t>Level 9</t>
  </si>
  <si>
    <t>Level 10</t>
  </si>
  <si>
    <t>Level 11</t>
  </si>
  <si>
    <t>Level 12</t>
  </si>
  <si>
    <t>Level 13</t>
  </si>
  <si>
    <t>Level 14</t>
  </si>
  <si>
    <t>Level 15</t>
  </si>
  <si>
    <t>Level 16</t>
  </si>
  <si>
    <t>Level 17</t>
  </si>
  <si>
    <t>Level 18</t>
  </si>
  <si>
    <t>Level 19</t>
  </si>
  <si>
    <t>Level 20</t>
  </si>
  <si>
    <t>Level 21</t>
  </si>
  <si>
    <t>Level 22</t>
  </si>
  <si>
    <t>Level 23</t>
  </si>
  <si>
    <t>Level 24</t>
  </si>
  <si>
    <t>Level 25</t>
  </si>
  <si>
    <t>Level 26</t>
  </si>
  <si>
    <t>Level 27</t>
  </si>
  <si>
    <t>Level 28</t>
  </si>
  <si>
    <t>Level 29</t>
  </si>
  <si>
    <t>Level 30</t>
  </si>
  <si>
    <t>Level 31</t>
  </si>
  <si>
    <t>Level 32</t>
  </si>
  <si>
    <t>Level 33</t>
  </si>
  <si>
    <t>Level 34</t>
  </si>
  <si>
    <t>Level 35</t>
  </si>
  <si>
    <t>Level 36</t>
  </si>
  <si>
    <t>Level 37</t>
  </si>
  <si>
    <t>Level 38</t>
  </si>
  <si>
    <t>Level 39</t>
  </si>
  <si>
    <t>* y = e^(-1/20(x-2))</t>
  </si>
  <si>
    <t>Average</t>
  </si>
  <si>
    <t>Test</t>
  </si>
  <si>
    <t>bestSpeed+(levelID)</t>
  </si>
  <si>
    <t>bestObsSpeed+(levelID)</t>
  </si>
  <si>
    <t>The fastes obstacle speed the player has used.  This value is an int</t>
  </si>
  <si>
    <t>The fastest speed the player had used.  This value is an int</t>
  </si>
  <si>
    <t>0,</t>
  </si>
  <si>
    <t>lastRank+(levelID)</t>
  </si>
  <si>
    <t>lastRank is the score that the player has last gotten on a given level</t>
  </si>
  <si>
    <t>The fewest number of deaths that the user has on a given level NOTE! This is 1 more than the actual value because a value of 0 can be confused with it not existing</t>
  </si>
  <si>
    <t>lastDefRanking</t>
  </si>
  <si>
    <t>Used in level select, this string is important for storing the last ranking the player had and setting it at start</t>
  </si>
  <si>
    <t>White</t>
  </si>
  <si>
    <t>Area</t>
  </si>
  <si>
    <t>Pos</t>
  </si>
  <si>
    <t>Rotation</t>
  </si>
  <si>
    <t>Scale</t>
  </si>
  <si>
    <t>Mat</t>
  </si>
  <si>
    <t>24,</t>
  </si>
  <si>
    <t>0,0,0,</t>
  </si>
  <si>
    <t>1,1,1:</t>
  </si>
  <si>
    <t>RGBA</t>
  </si>
  <si>
    <t>11,11,11,11:</t>
  </si>
  <si>
    <t>OPT Values for code</t>
  </si>
  <si>
    <t>12,5,20</t>
  </si>
  <si>
    <t>Random Area (Not Used)</t>
  </si>
  <si>
    <t>72</t>
  </si>
  <si>
    <t>73</t>
  </si>
  <si>
    <t>74</t>
  </si>
  <si>
    <t>75</t>
  </si>
  <si>
    <t>76</t>
  </si>
  <si>
    <t>79</t>
  </si>
  <si>
    <t>80</t>
  </si>
  <si>
    <t>81</t>
  </si>
  <si>
    <t>1x1 Capsule</t>
  </si>
  <si>
    <t>Cone</t>
  </si>
  <si>
    <t>1x1 Omni Moving Cube</t>
  </si>
  <si>
    <t>No Render</t>
  </si>
  <si>
    <t>77 Quad</t>
  </si>
  <si>
    <t>Marginal Revenue</t>
  </si>
  <si>
    <t>SUM</t>
  </si>
  <si>
    <t>MMJ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</si>
</sst>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0000%"/>
  </numFmts>
  <fonts count="9" x14ac:knownFonts="1">
    <font>
      <sz val="11"/>
      <color theme="1"/>
      <name val="Calibri"/>
      <family val="2"/>
      <scheme val="minor"/>
    </font>
    <font>
      <sz val="8"/>
      <name val="Calibri"/>
      <family val="2"/>
      <scheme val="minor"/>
    </font>
    <font>
      <sz val="10"/>
      <color theme="1"/>
      <name val="Calibri"/>
      <family val="2"/>
      <scheme val="minor"/>
    </font>
    <font>
      <sz val="11"/>
      <color rgb="FF00B0F0"/>
      <name val="Calibri"/>
      <family val="2"/>
      <scheme val="minor"/>
    </font>
    <font>
      <sz val="11"/>
      <color rgb="FFC00000"/>
      <name val="Calibri"/>
      <family val="2"/>
      <scheme val="minor"/>
    </font>
    <font>
      <u/>
      <sz val="11"/>
      <color theme="10"/>
      <name val="Calibri"/>
      <family val="2"/>
      <scheme val="minor"/>
    </font>
    <font>
      <sz val="11"/>
      <color theme="1"/>
      <name val="Calibri"/>
      <family val="2"/>
      <scheme val="minor"/>
    </font>
    <font>
      <sz val="24"/>
      <color theme="1"/>
      <name val="Calibri"/>
      <family val="2"/>
      <scheme val="minor"/>
    </font>
    <font>
      <sz val="11"/>
      <name val="Calibri"/>
      <family val="2"/>
      <scheme val="minor"/>
    </font>
  </fonts>
  <fills count="33">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516135"/>
        <bgColor indexed="64"/>
      </patternFill>
    </fill>
    <fill>
      <patternFill patternType="solid">
        <fgColor theme="0" tint="-0.14999847407452621"/>
        <bgColor indexed="64"/>
      </patternFill>
    </fill>
    <fill>
      <patternFill patternType="solid">
        <fgColor rgb="FF00B0F0"/>
        <bgColor indexed="64"/>
      </patternFill>
    </fill>
    <fill>
      <patternFill patternType="solid">
        <fgColor rgb="FF00B050"/>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7030A0"/>
        <bgColor indexed="64"/>
      </patternFill>
    </fill>
    <fill>
      <patternFill patternType="solid">
        <fgColor rgb="FF866600"/>
        <bgColor indexed="64"/>
      </patternFill>
    </fill>
    <fill>
      <patternFill patternType="solid">
        <fgColor rgb="FFC00000"/>
        <bgColor indexed="64"/>
      </patternFill>
    </fill>
    <fill>
      <patternFill patternType="solid">
        <fgColor theme="0"/>
        <bgColor indexed="64"/>
      </patternFill>
    </fill>
    <fill>
      <patternFill patternType="solid">
        <fgColor theme="7"/>
        <bgColor indexed="64"/>
      </patternFill>
    </fill>
    <fill>
      <patternFill patternType="solid">
        <fgColor rgb="FF0070C0"/>
        <bgColor indexed="64"/>
      </patternFill>
    </fill>
    <fill>
      <patternFill patternType="solid">
        <fgColor theme="1" tint="0.14999847407452621"/>
        <bgColor indexed="64"/>
      </patternFill>
    </fill>
    <fill>
      <patternFill patternType="solid">
        <fgColor theme="1" tint="0.249977111117893"/>
        <bgColor indexed="64"/>
      </patternFill>
    </fill>
    <fill>
      <patternFill patternType="solid">
        <fgColor theme="1" tint="0.34998626667073579"/>
        <bgColor indexed="64"/>
      </patternFill>
    </fill>
    <fill>
      <patternFill patternType="solid">
        <fgColor rgb="FFFFD48C"/>
        <bgColor indexed="64"/>
      </patternFill>
    </fill>
    <fill>
      <patternFill patternType="solid">
        <fgColor rgb="FF1980B2"/>
        <bgColor indexed="64"/>
      </patternFill>
    </fill>
    <fill>
      <patternFill patternType="solid">
        <fgColor rgb="FFC00200"/>
        <bgColor indexed="64"/>
      </patternFill>
    </fill>
    <fill>
      <patternFill patternType="solid">
        <fgColor rgb="FF6B3367"/>
        <bgColor indexed="64"/>
      </patternFill>
    </fill>
    <fill>
      <patternFill patternType="solid">
        <fgColor rgb="FFFF680A"/>
        <bgColor indexed="64"/>
      </patternFill>
    </fill>
    <fill>
      <patternFill patternType="solid">
        <fgColor rgb="FF004421"/>
        <bgColor indexed="64"/>
      </patternFill>
    </fill>
    <fill>
      <patternFill patternType="solid">
        <fgColor rgb="FF84231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2" tint="-0.249977111117893"/>
        <bgColor indexed="64"/>
      </patternFill>
    </fill>
    <fill>
      <patternFill patternType="solid">
        <fgColor theme="5"/>
        <bgColor indexed="64"/>
      </patternFill>
    </fill>
    <fill>
      <patternFill patternType="solid">
        <fgColor theme="1" tint="0.499984740745262"/>
        <bgColor indexed="64"/>
      </patternFill>
    </fill>
  </fills>
  <borders count="25">
    <border>
      <left/>
      <right/>
      <top/>
      <bottom/>
      <diagonal/>
    </border>
    <border>
      <left style="medium">
        <color indexed="64"/>
      </left>
      <right style="medium">
        <color indexed="64"/>
      </right>
      <top style="medium">
        <color indexed="64"/>
      </top>
      <bottom style="medium">
        <color indexed="64"/>
      </bottom>
      <diagonal/>
    </border>
    <border>
      <left/>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style="thick">
        <color indexed="64"/>
      </top>
      <bottom/>
      <diagonal/>
    </border>
    <border>
      <left/>
      <right style="medium">
        <color indexed="64"/>
      </right>
      <top style="thick">
        <color indexed="64"/>
      </top>
      <bottom/>
      <diagonal/>
    </border>
    <border>
      <left style="medium">
        <color indexed="64"/>
      </left>
      <right style="medium">
        <color indexed="64"/>
      </right>
      <top style="medium">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0" fontId="5" fillId="0" borderId="0" applyNumberFormat="0" applyFill="0" applyBorder="0" applyAlignment="0" applyProtection="0"/>
    <xf numFmtId="44" fontId="6" fillId="0" borderId="0" applyFont="0" applyFill="0" applyBorder="0" applyAlignment="0" applyProtection="0"/>
    <xf numFmtId="9" fontId="6" fillId="0" borderId="0" applyFont="0" applyFill="0" applyBorder="0" applyAlignment="0" applyProtection="0"/>
  </cellStyleXfs>
  <cellXfs count="192">
    <xf numFmtId="0" fontId="0" fillId="0" borderId="0" xfId="0"/>
    <xf numFmtId="49" fontId="0" fillId="0" borderId="0" xfId="0" applyNumberFormat="1"/>
    <xf numFmtId="49" fontId="0" fillId="0" borderId="9" xfId="0" applyNumberFormat="1" applyBorder="1"/>
    <xf numFmtId="49" fontId="0" fillId="0" borderId="13" xfId="0" applyNumberFormat="1" applyBorder="1"/>
    <xf numFmtId="49" fontId="0" fillId="0" borderId="6" xfId="0" applyNumberFormat="1" applyBorder="1"/>
    <xf numFmtId="49" fontId="0" fillId="2" borderId="8" xfId="0" applyNumberFormat="1" applyFill="1" applyBorder="1"/>
    <xf numFmtId="49" fontId="0" fillId="2" borderId="9" xfId="0" applyNumberFormat="1" applyFill="1" applyBorder="1"/>
    <xf numFmtId="49" fontId="0" fillId="2" borderId="12" xfId="0" applyNumberFormat="1" applyFill="1" applyBorder="1"/>
    <xf numFmtId="49" fontId="0" fillId="2" borderId="0" xfId="0" applyNumberFormat="1" applyFill="1"/>
    <xf numFmtId="49" fontId="0" fillId="2" borderId="5" xfId="0" applyNumberFormat="1" applyFill="1" applyBorder="1"/>
    <xf numFmtId="49" fontId="0" fillId="2" borderId="6" xfId="0" applyNumberFormat="1" applyFill="1" applyBorder="1"/>
    <xf numFmtId="49" fontId="0" fillId="2" borderId="11" xfId="0" applyNumberFormat="1" applyFill="1" applyBorder="1"/>
    <xf numFmtId="49" fontId="0" fillId="2" borderId="13" xfId="0" applyNumberFormat="1" applyFill="1" applyBorder="1"/>
    <xf numFmtId="49" fontId="0" fillId="2" borderId="7" xfId="0" applyNumberFormat="1" applyFill="1" applyBorder="1"/>
    <xf numFmtId="49" fontId="0" fillId="3" borderId="0" xfId="0" applyNumberFormat="1" applyFill="1"/>
    <xf numFmtId="49" fontId="0" fillId="4" borderId="0" xfId="0" applyNumberFormat="1" applyFill="1"/>
    <xf numFmtId="49" fontId="0" fillId="5" borderId="0" xfId="0" applyNumberFormat="1" applyFill="1"/>
    <xf numFmtId="49" fontId="0" fillId="5" borderId="13" xfId="0" applyNumberFormat="1" applyFill="1" applyBorder="1"/>
    <xf numFmtId="49" fontId="0" fillId="0" borderId="8" xfId="0" applyNumberFormat="1" applyBorder="1"/>
    <xf numFmtId="49" fontId="0" fillId="0" borderId="11" xfId="0" applyNumberFormat="1" applyBorder="1"/>
    <xf numFmtId="49" fontId="0" fillId="0" borderId="12" xfId="0" applyNumberFormat="1" applyBorder="1"/>
    <xf numFmtId="49" fontId="0" fillId="0" borderId="5" xfId="0" applyNumberFormat="1" applyBorder="1"/>
    <xf numFmtId="49" fontId="0" fillId="0" borderId="7" xfId="0" applyNumberFormat="1" applyBorder="1"/>
    <xf numFmtId="49" fontId="0" fillId="3" borderId="8" xfId="0" applyNumberFormat="1" applyFill="1" applyBorder="1"/>
    <xf numFmtId="49" fontId="0" fillId="3" borderId="9" xfId="0" applyNumberFormat="1" applyFill="1" applyBorder="1"/>
    <xf numFmtId="49" fontId="0" fillId="3" borderId="11" xfId="0" applyNumberFormat="1" applyFill="1" applyBorder="1"/>
    <xf numFmtId="49" fontId="0" fillId="3" borderId="12" xfId="0" applyNumberFormat="1" applyFill="1" applyBorder="1"/>
    <xf numFmtId="49" fontId="0" fillId="3" borderId="13" xfId="0" applyNumberFormat="1" applyFill="1" applyBorder="1"/>
    <xf numFmtId="49" fontId="0" fillId="3" borderId="5" xfId="0" applyNumberFormat="1" applyFill="1" applyBorder="1"/>
    <xf numFmtId="49" fontId="0" fillId="3" borderId="6" xfId="0" applyNumberFormat="1" applyFill="1" applyBorder="1"/>
    <xf numFmtId="49" fontId="0" fillId="3" borderId="7" xfId="0" applyNumberFormat="1" applyFill="1" applyBorder="1"/>
    <xf numFmtId="49" fontId="0" fillId="5" borderId="8" xfId="0" applyNumberFormat="1" applyFill="1" applyBorder="1"/>
    <xf numFmtId="49" fontId="0" fillId="5" borderId="9" xfId="0" applyNumberFormat="1" applyFill="1" applyBorder="1"/>
    <xf numFmtId="49" fontId="0" fillId="5" borderId="11" xfId="0" applyNumberFormat="1" applyFill="1" applyBorder="1"/>
    <xf numFmtId="49" fontId="0" fillId="5" borderId="12" xfId="0" applyNumberFormat="1" applyFill="1" applyBorder="1"/>
    <xf numFmtId="49" fontId="0" fillId="5" borderId="5" xfId="0" applyNumberFormat="1" applyFill="1" applyBorder="1"/>
    <xf numFmtId="49" fontId="0" fillId="5" borderId="6" xfId="0" applyNumberFormat="1" applyFill="1" applyBorder="1"/>
    <xf numFmtId="49" fontId="0" fillId="5" borderId="7" xfId="0" applyNumberFormat="1" applyFill="1" applyBorder="1"/>
    <xf numFmtId="49" fontId="0" fillId="4" borderId="8" xfId="0" applyNumberFormat="1" applyFill="1" applyBorder="1"/>
    <xf numFmtId="49" fontId="0" fillId="4" borderId="9" xfId="0" applyNumberFormat="1" applyFill="1" applyBorder="1"/>
    <xf numFmtId="49" fontId="0" fillId="4" borderId="11" xfId="0" applyNumberFormat="1" applyFill="1" applyBorder="1"/>
    <xf numFmtId="49" fontId="0" fillId="4" borderId="12" xfId="0" applyNumberFormat="1" applyFill="1" applyBorder="1"/>
    <xf numFmtId="49" fontId="0" fillId="4" borderId="13" xfId="0" applyNumberFormat="1" applyFill="1" applyBorder="1"/>
    <xf numFmtId="49" fontId="0" fillId="4" borderId="5" xfId="0" applyNumberFormat="1" applyFill="1" applyBorder="1"/>
    <xf numFmtId="49" fontId="0" fillId="4" borderId="6" xfId="0" applyNumberFormat="1" applyFill="1" applyBorder="1"/>
    <xf numFmtId="49" fontId="0" fillId="4" borderId="7" xfId="0" applyNumberFormat="1" applyFill="1" applyBorder="1"/>
    <xf numFmtId="49" fontId="0" fillId="6" borderId="0" xfId="0" applyNumberFormat="1" applyFill="1"/>
    <xf numFmtId="49" fontId="0" fillId="7" borderId="9" xfId="0" applyNumberFormat="1" applyFill="1" applyBorder="1"/>
    <xf numFmtId="49" fontId="0" fillId="7" borderId="0" xfId="0" applyNumberFormat="1" applyFill="1"/>
    <xf numFmtId="49" fontId="0" fillId="7" borderId="6" xfId="0" applyNumberFormat="1" applyFill="1" applyBorder="1"/>
    <xf numFmtId="49" fontId="0" fillId="7" borderId="8" xfId="0" applyNumberFormat="1" applyFill="1" applyBorder="1"/>
    <xf numFmtId="49" fontId="0" fillId="7" borderId="11" xfId="0" applyNumberFormat="1" applyFill="1" applyBorder="1"/>
    <xf numFmtId="49" fontId="0" fillId="7" borderId="12" xfId="0" applyNumberFormat="1" applyFill="1" applyBorder="1"/>
    <xf numFmtId="49" fontId="0" fillId="7" borderId="13" xfId="0" applyNumberFormat="1" applyFill="1" applyBorder="1"/>
    <xf numFmtId="49" fontId="0" fillId="7" borderId="5" xfId="0" applyNumberFormat="1" applyFill="1" applyBorder="1"/>
    <xf numFmtId="49" fontId="0" fillId="7" borderId="7" xfId="0" applyNumberFormat="1" applyFill="1" applyBorder="1"/>
    <xf numFmtId="49" fontId="0" fillId="8" borderId="12" xfId="0" applyNumberFormat="1" applyFill="1" applyBorder="1"/>
    <xf numFmtId="49" fontId="0" fillId="8" borderId="0" xfId="0" applyNumberFormat="1" applyFill="1"/>
    <xf numFmtId="49" fontId="0" fillId="8" borderId="13" xfId="0" applyNumberFormat="1" applyFill="1" applyBorder="1"/>
    <xf numFmtId="49" fontId="0" fillId="8" borderId="8" xfId="0" applyNumberFormat="1" applyFill="1" applyBorder="1"/>
    <xf numFmtId="49" fontId="0" fillId="8" borderId="9" xfId="0" applyNumberFormat="1" applyFill="1" applyBorder="1"/>
    <xf numFmtId="49" fontId="0" fillId="8" borderId="11" xfId="0" applyNumberFormat="1" applyFill="1" applyBorder="1"/>
    <xf numFmtId="49" fontId="0" fillId="8" borderId="5" xfId="0" applyNumberFormat="1" applyFill="1" applyBorder="1"/>
    <xf numFmtId="49" fontId="0" fillId="8" borderId="6" xfId="0" applyNumberFormat="1" applyFill="1" applyBorder="1"/>
    <xf numFmtId="49" fontId="0" fillId="8" borderId="7" xfId="0" applyNumberFormat="1" applyFill="1" applyBorder="1"/>
    <xf numFmtId="49" fontId="0" fillId="10" borderId="0" xfId="0" applyNumberFormat="1" applyFill="1"/>
    <xf numFmtId="49" fontId="0" fillId="2" borderId="2" xfId="0" applyNumberFormat="1" applyFill="1" applyBorder="1"/>
    <xf numFmtId="49" fontId="0" fillId="11" borderId="8" xfId="0" applyNumberFormat="1" applyFill="1" applyBorder="1"/>
    <xf numFmtId="49" fontId="0" fillId="11" borderId="9" xfId="0" applyNumberFormat="1" applyFill="1" applyBorder="1"/>
    <xf numFmtId="49" fontId="0" fillId="11" borderId="11" xfId="0" applyNumberFormat="1" applyFill="1" applyBorder="1"/>
    <xf numFmtId="49" fontId="0" fillId="11" borderId="5" xfId="0" applyNumberFormat="1" applyFill="1" applyBorder="1"/>
    <xf numFmtId="49" fontId="0" fillId="11" borderId="6" xfId="0" applyNumberFormat="1" applyFill="1" applyBorder="1"/>
    <xf numFmtId="49" fontId="0" fillId="11" borderId="7" xfId="0" applyNumberFormat="1" applyFill="1" applyBorder="1"/>
    <xf numFmtId="49" fontId="0" fillId="12" borderId="8" xfId="0" applyNumberFormat="1" applyFill="1" applyBorder="1"/>
    <xf numFmtId="49" fontId="0" fillId="12" borderId="9" xfId="0" applyNumberFormat="1" applyFill="1" applyBorder="1"/>
    <xf numFmtId="49" fontId="0" fillId="12" borderId="12" xfId="0" applyNumberFormat="1" applyFill="1" applyBorder="1"/>
    <xf numFmtId="49" fontId="0" fillId="12" borderId="0" xfId="0" applyNumberFormat="1" applyFill="1"/>
    <xf numFmtId="49" fontId="0" fillId="12" borderId="5" xfId="0" applyNumberFormat="1" applyFill="1" applyBorder="1"/>
    <xf numFmtId="49" fontId="0" fillId="12" borderId="6" xfId="0" applyNumberFormat="1" applyFill="1" applyBorder="1"/>
    <xf numFmtId="49" fontId="0" fillId="13" borderId="0" xfId="0" applyNumberFormat="1" applyFill="1"/>
    <xf numFmtId="49" fontId="0" fillId="13" borderId="13" xfId="0" applyNumberFormat="1" applyFill="1" applyBorder="1"/>
    <xf numFmtId="49" fontId="0" fillId="13" borderId="6" xfId="0" applyNumberFormat="1" applyFill="1" applyBorder="1"/>
    <xf numFmtId="49" fontId="0" fillId="13" borderId="7" xfId="0" applyNumberFormat="1" applyFill="1" applyBorder="1"/>
    <xf numFmtId="49" fontId="0" fillId="14" borderId="8" xfId="0" applyNumberFormat="1" applyFill="1" applyBorder="1"/>
    <xf numFmtId="49" fontId="0" fillId="14" borderId="11" xfId="0" applyNumberFormat="1" applyFill="1" applyBorder="1"/>
    <xf numFmtId="49" fontId="0" fillId="14" borderId="12" xfId="0" applyNumberFormat="1" applyFill="1" applyBorder="1"/>
    <xf numFmtId="49" fontId="0" fillId="14" borderId="0" xfId="0" applyNumberFormat="1" applyFill="1"/>
    <xf numFmtId="49" fontId="0" fillId="14" borderId="13" xfId="0" applyNumberFormat="1" applyFill="1" applyBorder="1"/>
    <xf numFmtId="49" fontId="0" fillId="14" borderId="1" xfId="0" applyNumberFormat="1" applyFill="1" applyBorder="1"/>
    <xf numFmtId="49" fontId="0" fillId="14" borderId="3" xfId="0" applyNumberFormat="1" applyFill="1" applyBorder="1"/>
    <xf numFmtId="49" fontId="0" fillId="14" borderId="4" xfId="0" applyNumberFormat="1" applyFill="1" applyBorder="1"/>
    <xf numFmtId="49" fontId="0" fillId="14" borderId="14" xfId="0" applyNumberFormat="1" applyFill="1" applyBorder="1"/>
    <xf numFmtId="49" fontId="0" fillId="8" borderId="3" xfId="0" applyNumberFormat="1" applyFill="1" applyBorder="1"/>
    <xf numFmtId="49" fontId="0" fillId="8" borderId="4" xfId="0" applyNumberFormat="1" applyFill="1" applyBorder="1"/>
    <xf numFmtId="49" fontId="0" fillId="8" borderId="14" xfId="0" applyNumberFormat="1" applyFill="1" applyBorder="1"/>
    <xf numFmtId="49" fontId="0" fillId="8" borderId="10" xfId="0" applyNumberFormat="1" applyFill="1" applyBorder="1"/>
    <xf numFmtId="49" fontId="0" fillId="8" borderId="1" xfId="0" applyNumberFormat="1" applyFill="1" applyBorder="1"/>
    <xf numFmtId="49" fontId="0" fillId="12" borderId="11" xfId="0" applyNumberFormat="1" applyFill="1" applyBorder="1"/>
    <xf numFmtId="49" fontId="0" fillId="12" borderId="7" xfId="0" applyNumberFormat="1" applyFill="1" applyBorder="1"/>
    <xf numFmtId="49" fontId="0" fillId="7" borderId="15" xfId="0" applyNumberFormat="1" applyFill="1" applyBorder="1"/>
    <xf numFmtId="49" fontId="0" fillId="7" borderId="16" xfId="0" applyNumberFormat="1" applyFill="1" applyBorder="1"/>
    <xf numFmtId="49" fontId="0" fillId="8" borderId="17" xfId="0" applyNumberFormat="1" applyFill="1" applyBorder="1"/>
    <xf numFmtId="49" fontId="0" fillId="9" borderId="0" xfId="0" applyNumberFormat="1" applyFill="1"/>
    <xf numFmtId="49" fontId="0" fillId="9" borderId="13" xfId="0" applyNumberFormat="1" applyFill="1" applyBorder="1"/>
    <xf numFmtId="49" fontId="0" fillId="4" borderId="2" xfId="0" applyNumberFormat="1" applyFill="1" applyBorder="1"/>
    <xf numFmtId="49" fontId="0" fillId="9" borderId="9" xfId="0" applyNumberFormat="1" applyFill="1" applyBorder="1"/>
    <xf numFmtId="49" fontId="0" fillId="9" borderId="6" xfId="0" applyNumberFormat="1" applyFill="1" applyBorder="1"/>
    <xf numFmtId="49" fontId="3" fillId="8" borderId="0" xfId="0" applyNumberFormat="1" applyFont="1" applyFill="1"/>
    <xf numFmtId="49" fontId="4" fillId="14" borderId="0" xfId="0" applyNumberFormat="1" applyFont="1" applyFill="1"/>
    <xf numFmtId="49" fontId="0" fillId="15" borderId="3" xfId="0" applyNumberFormat="1" applyFill="1" applyBorder="1"/>
    <xf numFmtId="49" fontId="0" fillId="15" borderId="4" xfId="0" applyNumberFormat="1" applyFill="1" applyBorder="1"/>
    <xf numFmtId="49" fontId="0" fillId="15" borderId="14" xfId="0" applyNumberFormat="1" applyFill="1" applyBorder="1"/>
    <xf numFmtId="49" fontId="0" fillId="2" borderId="3" xfId="0" applyNumberFormat="1" applyFill="1" applyBorder="1"/>
    <xf numFmtId="49" fontId="0" fillId="2" borderId="4" xfId="0" applyNumberFormat="1" applyFill="1" applyBorder="1"/>
    <xf numFmtId="49" fontId="0" fillId="2" borderId="14" xfId="0" applyNumberFormat="1" applyFill="1" applyBorder="1"/>
    <xf numFmtId="49" fontId="0" fillId="15" borderId="8" xfId="0" applyNumberFormat="1" applyFill="1" applyBorder="1"/>
    <xf numFmtId="49" fontId="0" fillId="15" borderId="11" xfId="0" applyNumberFormat="1" applyFill="1" applyBorder="1"/>
    <xf numFmtId="49" fontId="0" fillId="15" borderId="12" xfId="0" applyNumberFormat="1" applyFill="1" applyBorder="1"/>
    <xf numFmtId="49" fontId="0" fillId="15" borderId="13" xfId="0" applyNumberFormat="1" applyFill="1" applyBorder="1"/>
    <xf numFmtId="49" fontId="0" fillId="15" borderId="5" xfId="0" applyNumberFormat="1" applyFill="1" applyBorder="1"/>
    <xf numFmtId="49" fontId="0" fillId="15" borderId="7" xfId="0" applyNumberFormat="1" applyFill="1" applyBorder="1"/>
    <xf numFmtId="49" fontId="0" fillId="15" borderId="9" xfId="0" applyNumberFormat="1" applyFill="1" applyBorder="1"/>
    <xf numFmtId="49" fontId="0" fillId="15" borderId="6" xfId="0" applyNumberFormat="1" applyFill="1" applyBorder="1"/>
    <xf numFmtId="0" fontId="5" fillId="0" borderId="0" xfId="1"/>
    <xf numFmtId="49" fontId="0" fillId="11" borderId="3" xfId="0" applyNumberFormat="1" applyFill="1" applyBorder="1"/>
    <xf numFmtId="49" fontId="0" fillId="11" borderId="4" xfId="0" applyNumberFormat="1" applyFill="1" applyBorder="1"/>
    <xf numFmtId="49" fontId="0" fillId="11" borderId="14" xfId="0" applyNumberFormat="1" applyFill="1" applyBorder="1"/>
    <xf numFmtId="49" fontId="0" fillId="7" borderId="18" xfId="0" applyNumberFormat="1" applyFill="1" applyBorder="1"/>
    <xf numFmtId="49" fontId="0" fillId="16" borderId="0" xfId="0" applyNumberFormat="1" applyFill="1"/>
    <xf numFmtId="44" fontId="0" fillId="0" borderId="0" xfId="2" applyFont="1"/>
    <xf numFmtId="0" fontId="0" fillId="3" borderId="0" xfId="0" applyFill="1"/>
    <xf numFmtId="164" fontId="0" fillId="0" borderId="0" xfId="3" applyNumberFormat="1" applyFont="1"/>
    <xf numFmtId="49" fontId="0" fillId="17" borderId="9" xfId="0" applyNumberFormat="1" applyFill="1" applyBorder="1"/>
    <xf numFmtId="49" fontId="0" fillId="0" borderId="4" xfId="0" applyNumberFormat="1" applyBorder="1"/>
    <xf numFmtId="49" fontId="0" fillId="9" borderId="4" xfId="0" applyNumberFormat="1" applyFill="1" applyBorder="1"/>
    <xf numFmtId="49" fontId="0" fillId="4" borderId="4" xfId="0" applyNumberFormat="1" applyFill="1" applyBorder="1"/>
    <xf numFmtId="49" fontId="0" fillId="3" borderId="4" xfId="0" applyNumberFormat="1" applyFill="1" applyBorder="1"/>
    <xf numFmtId="49" fontId="0" fillId="17" borderId="4" xfId="0" applyNumberFormat="1" applyFill="1" applyBorder="1"/>
    <xf numFmtId="49" fontId="0" fillId="12" borderId="4" xfId="0" applyNumberFormat="1" applyFill="1" applyBorder="1"/>
    <xf numFmtId="49" fontId="2" fillId="0" borderId="0" xfId="0" applyNumberFormat="1" applyFont="1"/>
    <xf numFmtId="49" fontId="4" fillId="0" borderId="0" xfId="0" applyNumberFormat="1" applyFont="1"/>
    <xf numFmtId="49" fontId="3" fillId="0" borderId="0" xfId="0" applyNumberFormat="1" applyFont="1"/>
    <xf numFmtId="49" fontId="0" fillId="18" borderId="0" xfId="0" applyNumberFormat="1" applyFill="1"/>
    <xf numFmtId="49" fontId="0" fillId="19" borderId="0" xfId="0" applyNumberFormat="1" applyFill="1"/>
    <xf numFmtId="49" fontId="0" fillId="20" borderId="0" xfId="0" applyNumberFormat="1" applyFill="1"/>
    <xf numFmtId="49" fontId="0" fillId="11" borderId="0" xfId="0" applyNumberFormat="1" applyFill="1"/>
    <xf numFmtId="49" fontId="0" fillId="0" borderId="0" xfId="0" applyNumberFormat="1" applyAlignment="1">
      <alignment wrapText="1"/>
    </xf>
    <xf numFmtId="49" fontId="0" fillId="21" borderId="0" xfId="0" applyNumberFormat="1" applyFill="1"/>
    <xf numFmtId="49" fontId="0" fillId="22" borderId="0" xfId="0" applyNumberFormat="1" applyFill="1"/>
    <xf numFmtId="49" fontId="0" fillId="23" borderId="0" xfId="0" applyNumberFormat="1" applyFill="1"/>
    <xf numFmtId="49" fontId="0" fillId="24" borderId="0" xfId="0" applyNumberFormat="1" applyFill="1"/>
    <xf numFmtId="49" fontId="0" fillId="15" borderId="0" xfId="0" applyNumberFormat="1" applyFill="1"/>
    <xf numFmtId="49" fontId="0" fillId="25" borderId="0" xfId="0" applyNumberFormat="1" applyFill="1"/>
    <xf numFmtId="49" fontId="0" fillId="26" borderId="0" xfId="0" applyNumberFormat="1" applyFill="1"/>
    <xf numFmtId="49" fontId="0" fillId="27" borderId="0" xfId="0" applyNumberFormat="1" applyFill="1"/>
    <xf numFmtId="49" fontId="0" fillId="28" borderId="0" xfId="0" applyNumberFormat="1" applyFill="1"/>
    <xf numFmtId="49" fontId="0" fillId="29" borderId="0" xfId="0" applyNumberFormat="1" applyFill="1"/>
    <xf numFmtId="49" fontId="0" fillId="30" borderId="0" xfId="0" applyNumberFormat="1" applyFill="1"/>
    <xf numFmtId="49" fontId="0" fillId="31" borderId="0" xfId="0" applyNumberFormat="1" applyFill="1"/>
    <xf numFmtId="0" fontId="0" fillId="11" borderId="0" xfId="0" applyFill="1"/>
    <xf numFmtId="0" fontId="0" fillId="5" borderId="0" xfId="0" applyFill="1"/>
    <xf numFmtId="0" fontId="8" fillId="3" borderId="0" xfId="0" applyFont="1" applyFill="1"/>
    <xf numFmtId="0" fontId="0" fillId="17" borderId="0" xfId="0" applyFill="1"/>
    <xf numFmtId="0" fontId="0" fillId="12" borderId="0" xfId="0" applyFill="1"/>
    <xf numFmtId="0" fontId="0" fillId="4" borderId="0" xfId="0" applyFill="1"/>
    <xf numFmtId="0" fontId="0" fillId="9" borderId="0" xfId="0" applyFill="1"/>
    <xf numFmtId="0" fontId="0" fillId="14" borderId="0" xfId="0" applyFill="1"/>
    <xf numFmtId="0" fontId="0" fillId="32" borderId="0" xfId="0" applyFill="1"/>
    <xf numFmtId="1" fontId="0" fillId="0" borderId="0" xfId="0" applyNumberFormat="1"/>
    <xf numFmtId="0" fontId="0" fillId="0" borderId="8" xfId="0" applyBorder="1"/>
    <xf numFmtId="0" fontId="0" fillId="0" borderId="9" xfId="0" applyBorder="1"/>
    <xf numFmtId="0" fontId="0" fillId="0" borderId="11" xfId="0" applyBorder="1"/>
    <xf numFmtId="0" fontId="0" fillId="0" borderId="5" xfId="0" applyBorder="1"/>
    <xf numFmtId="0" fontId="0" fillId="0" borderId="6" xfId="0" applyBorder="1"/>
    <xf numFmtId="1" fontId="0" fillId="0" borderId="6" xfId="0" applyNumberFormat="1" applyBorder="1"/>
    <xf numFmtId="1" fontId="0" fillId="0" borderId="7" xfId="0" applyNumberFormat="1" applyBorder="1"/>
    <xf numFmtId="0" fontId="0" fillId="0" borderId="12" xfId="0" applyBorder="1"/>
    <xf numFmtId="0" fontId="0" fillId="0" borderId="13" xfId="0" applyBorder="1"/>
    <xf numFmtId="0" fontId="0" fillId="0" borderId="7" xfId="0" applyBorder="1"/>
    <xf numFmtId="0" fontId="0" fillId="0" borderId="0" xfId="0" applyAlignment="1">
      <alignment shrinkToFit="1"/>
    </xf>
    <xf numFmtId="0" fontId="0" fillId="5" borderId="0" xfId="0" applyFill="1" applyAlignment="1">
      <alignment shrinkToFit="1"/>
    </xf>
    <xf numFmtId="49" fontId="0" fillId="15" borderId="19" xfId="0" applyNumberFormat="1" applyFill="1" applyBorder="1"/>
    <xf numFmtId="49" fontId="0" fillId="15" borderId="20" xfId="0" applyNumberFormat="1" applyFill="1" applyBorder="1"/>
    <xf numFmtId="49" fontId="0" fillId="15" borderId="21" xfId="0" applyNumberFormat="1" applyFill="1" applyBorder="1"/>
    <xf numFmtId="49" fontId="0" fillId="15" borderId="22" xfId="0" applyNumberFormat="1" applyFill="1" applyBorder="1"/>
    <xf numFmtId="49" fontId="0" fillId="15" borderId="18" xfId="0" applyNumberFormat="1" applyFill="1" applyBorder="1"/>
    <xf numFmtId="49" fontId="0" fillId="15" borderId="23" xfId="0" applyNumberFormat="1" applyFill="1" applyBorder="1"/>
    <xf numFmtId="49" fontId="0" fillId="15" borderId="2" xfId="0" applyNumberFormat="1" applyFill="1" applyBorder="1"/>
    <xf numFmtId="49" fontId="0" fillId="15" borderId="24" xfId="0" applyNumberFormat="1" applyFill="1" applyBorder="1"/>
    <xf numFmtId="49" fontId="0" fillId="9" borderId="12" xfId="0" applyNumberFormat="1" applyFill="1" applyBorder="1"/>
    <xf numFmtId="49" fontId="7" fillId="0" borderId="0" xfId="0" applyNumberFormat="1" applyFont="1" applyAlignment="1">
      <alignment horizontal="center"/>
    </xf>
    <xf numFmtId="44" fontId="0" fillId="0" borderId="0" xfId="0" applyNumberFormat="1"/>
  </cellXfs>
  <cellStyles count="4">
    <cellStyle name="Currency" xfId="2" builtinId="4"/>
    <cellStyle name="Hyperlink" xfId="1" builtinId="8"/>
    <cellStyle name="Normal" xfId="0" builtinId="0"/>
    <cellStyle name="Percent" xfId="3" builtinId="5"/>
  </cellStyles>
  <dxfs count="0"/>
  <tableStyles count="0" defaultTableStyle="TableStyleMedium2" defaultPivotStyle="PivotStyleLight16"/>
  <colors>
    <mruColors>
      <color rgb="FF866600"/>
      <color rgb="FF6B3367"/>
      <color rgb="FF004421"/>
      <color rgb="FFFFD48C"/>
      <color rgb="FF1980B2"/>
      <color rgb="FFFF680A"/>
      <color rgb="FF842312"/>
      <color rgb="FFC00200"/>
      <color rgb="FF51613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hyperlink" Target="https://forum.unity.com/threads/multiple-materials-per-gameobject.137139/"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8E3ED-3486-4687-B350-72BC6F4648F1}">
  <dimension ref="A1:BN168"/>
  <sheetViews>
    <sheetView topLeftCell="F139" workbookViewId="0">
      <selection activeCell="Y169" sqref="Y169"/>
    </sheetView>
  </sheetViews>
  <sheetFormatPr defaultColWidth="2.77734375" defaultRowHeight="15" customHeight="1" x14ac:dyDescent="0.3"/>
  <cols>
    <col min="1" max="16384" width="2.77734375" style="1"/>
  </cols>
  <sheetData>
    <row r="1" spans="1:66" ht="15" customHeight="1" x14ac:dyDescent="0.3">
      <c r="A1" s="1" t="s">
        <v>268</v>
      </c>
    </row>
    <row r="2" spans="1:66" ht="15" customHeight="1" thickBot="1" x14ac:dyDescent="0.35"/>
    <row r="3" spans="1:66" ht="15" customHeight="1" thickBot="1" x14ac:dyDescent="0.35">
      <c r="B3" s="23"/>
      <c r="C3" s="24"/>
      <c r="D3" s="25"/>
      <c r="E3" s="18"/>
      <c r="F3" s="2"/>
      <c r="G3" s="19"/>
    </row>
    <row r="4" spans="1:66" ht="15" customHeight="1" x14ac:dyDescent="0.3">
      <c r="B4" s="26"/>
      <c r="C4" s="14"/>
      <c r="D4" s="27"/>
      <c r="E4" s="20" t="s">
        <v>5</v>
      </c>
      <c r="G4" s="3"/>
      <c r="L4" s="5"/>
      <c r="M4" s="6"/>
      <c r="N4" s="6"/>
      <c r="O4" s="47"/>
      <c r="P4" s="47"/>
      <c r="Q4" s="47"/>
      <c r="R4" s="47"/>
      <c r="S4" s="6"/>
      <c r="T4" s="6"/>
      <c r="U4" s="11"/>
      <c r="X4" s="5"/>
      <c r="Y4" s="6"/>
      <c r="Z4" s="6"/>
      <c r="AA4" s="6"/>
      <c r="AB4" s="6"/>
      <c r="AC4" s="6"/>
      <c r="AD4" s="6"/>
      <c r="AE4" s="6"/>
      <c r="AF4" s="6"/>
      <c r="AG4" s="11"/>
      <c r="AI4" s="5"/>
      <c r="AJ4" s="6"/>
      <c r="AK4" s="5"/>
      <c r="AL4" s="6"/>
      <c r="AM4" s="11"/>
      <c r="AN4" s="6"/>
      <c r="AO4" s="6"/>
      <c r="AP4" s="6"/>
      <c r="AQ4" s="11"/>
      <c r="AR4" s="11"/>
      <c r="AT4" s="5"/>
      <c r="AU4" s="6"/>
      <c r="AV4" s="6"/>
      <c r="AW4" s="47"/>
      <c r="AX4" s="47"/>
      <c r="AY4" s="6"/>
      <c r="AZ4" s="6"/>
      <c r="BA4" s="6"/>
      <c r="BB4" s="6"/>
      <c r="BC4" s="11"/>
      <c r="BE4" s="5"/>
      <c r="BF4" s="6"/>
      <c r="BG4" s="6"/>
      <c r="BH4" s="6"/>
      <c r="BI4" s="6"/>
      <c r="BJ4" s="6"/>
      <c r="BK4" s="6"/>
      <c r="BL4" s="6"/>
      <c r="BM4" s="11"/>
      <c r="BN4" s="11"/>
    </row>
    <row r="5" spans="1:66" ht="15" customHeight="1" thickBot="1" x14ac:dyDescent="0.35">
      <c r="B5" s="28"/>
      <c r="C5" s="29"/>
      <c r="D5" s="30"/>
      <c r="E5" s="21"/>
      <c r="F5" s="4"/>
      <c r="G5" s="22"/>
      <c r="L5" s="7"/>
      <c r="M5" s="8"/>
      <c r="N5" s="8"/>
      <c r="O5" s="48"/>
      <c r="P5" s="48"/>
      <c r="Q5" s="48"/>
      <c r="R5" s="48"/>
      <c r="S5" s="8"/>
      <c r="T5" s="8"/>
      <c r="U5" s="12"/>
      <c r="X5" s="7"/>
      <c r="Y5" s="8"/>
      <c r="Z5" s="8"/>
      <c r="AA5" s="8"/>
      <c r="AB5" s="8"/>
      <c r="AC5" s="8"/>
      <c r="AD5" s="8"/>
      <c r="AE5" s="8"/>
      <c r="AF5" s="8"/>
      <c r="AG5" s="12"/>
      <c r="AI5" s="7"/>
      <c r="AJ5" s="8"/>
      <c r="AK5" s="7"/>
      <c r="AL5" s="8"/>
      <c r="AM5" s="12"/>
      <c r="AN5" s="8"/>
      <c r="AO5" s="8"/>
      <c r="AP5" s="8"/>
      <c r="AQ5" s="12"/>
      <c r="AR5" s="12"/>
      <c r="AT5" s="7"/>
      <c r="AU5" s="8"/>
      <c r="AV5" s="8"/>
      <c r="AW5" s="48"/>
      <c r="AX5" s="48"/>
      <c r="AY5" s="48"/>
      <c r="AZ5" s="48"/>
      <c r="BA5" s="8"/>
      <c r="BB5" s="8"/>
      <c r="BC5" s="12"/>
      <c r="BE5" s="7"/>
      <c r="BF5" s="8"/>
      <c r="BG5" s="8"/>
      <c r="BH5" s="8"/>
      <c r="BI5" s="8"/>
      <c r="BJ5" s="8"/>
      <c r="BK5" s="8"/>
      <c r="BL5" s="8"/>
      <c r="BM5" s="12"/>
      <c r="BN5" s="12"/>
    </row>
    <row r="6" spans="1:66" ht="15" customHeight="1" x14ac:dyDescent="0.3">
      <c r="B6" s="38"/>
      <c r="C6" s="39"/>
      <c r="D6" s="40"/>
      <c r="E6" s="18" t="s">
        <v>6</v>
      </c>
      <c r="F6" s="2"/>
      <c r="G6" s="19"/>
      <c r="L6" s="7"/>
      <c r="M6" s="8"/>
      <c r="N6" s="8"/>
      <c r="O6" s="48"/>
      <c r="P6" s="48"/>
      <c r="Q6" s="48"/>
      <c r="R6" s="48"/>
      <c r="S6" s="8"/>
      <c r="T6" s="8"/>
      <c r="U6" s="12"/>
      <c r="X6" s="7"/>
      <c r="Y6" s="8"/>
      <c r="Z6" s="8"/>
      <c r="AA6" s="48"/>
      <c r="AB6" s="48"/>
      <c r="AC6" s="48"/>
      <c r="AD6" s="48"/>
      <c r="AE6" s="8"/>
      <c r="AF6" s="8"/>
      <c r="AG6" s="12"/>
      <c r="AI6" s="7"/>
      <c r="AJ6" s="8"/>
      <c r="AK6" s="7"/>
      <c r="AL6" s="8"/>
      <c r="AM6" s="12"/>
      <c r="AN6" s="8"/>
      <c r="AO6" s="8"/>
      <c r="AP6" s="8"/>
      <c r="AQ6" s="8"/>
      <c r="AR6" s="12"/>
      <c r="AT6" s="7"/>
      <c r="AU6" s="8"/>
      <c r="AV6" s="8"/>
      <c r="AW6" s="48"/>
      <c r="AX6" s="48"/>
      <c r="AY6" s="48"/>
      <c r="AZ6" s="48"/>
      <c r="BA6" s="8"/>
      <c r="BB6" s="8"/>
      <c r="BC6" s="12"/>
      <c r="BE6" s="7"/>
      <c r="BF6" s="8"/>
      <c r="BG6" s="8"/>
      <c r="BH6" s="8"/>
      <c r="BI6" s="8"/>
      <c r="BJ6" s="8"/>
      <c r="BK6" s="8"/>
      <c r="BL6" s="8"/>
      <c r="BM6" s="8"/>
      <c r="BN6" s="12"/>
    </row>
    <row r="7" spans="1:66" ht="15" customHeight="1" thickBot="1" x14ac:dyDescent="0.35">
      <c r="B7" s="41"/>
      <c r="C7" s="15"/>
      <c r="D7" s="42"/>
      <c r="E7" s="20" t="s">
        <v>7</v>
      </c>
      <c r="G7" s="3"/>
      <c r="L7" s="7"/>
      <c r="M7" s="8"/>
      <c r="N7" s="8"/>
      <c r="O7" s="48"/>
      <c r="P7" s="48"/>
      <c r="Q7" s="48"/>
      <c r="R7" s="48"/>
      <c r="S7" s="8"/>
      <c r="T7" s="8"/>
      <c r="U7" s="12"/>
      <c r="X7" s="7"/>
      <c r="Y7" s="8"/>
      <c r="Z7" s="8"/>
      <c r="AA7" s="48"/>
      <c r="AB7" s="14"/>
      <c r="AC7" s="14"/>
      <c r="AD7" s="48"/>
      <c r="AE7" s="8"/>
      <c r="AF7" s="8"/>
      <c r="AG7" s="12"/>
      <c r="AI7" s="7"/>
      <c r="AJ7" s="8"/>
      <c r="AK7" s="9"/>
      <c r="AL7" s="10"/>
      <c r="AM7" s="13"/>
      <c r="AN7" s="8"/>
      <c r="AO7" s="8"/>
      <c r="AP7" s="48"/>
      <c r="AQ7" s="48"/>
      <c r="AR7" s="53"/>
      <c r="AT7" s="7"/>
      <c r="AU7" s="8"/>
      <c r="AV7" s="8"/>
      <c r="AW7" s="8"/>
      <c r="AX7" s="8"/>
      <c r="AY7" s="48"/>
      <c r="AZ7" s="48"/>
      <c r="BA7" s="8"/>
      <c r="BB7" s="8"/>
      <c r="BC7" s="12"/>
      <c r="BE7" s="7"/>
      <c r="BF7" s="8"/>
      <c r="BG7" s="8"/>
      <c r="BH7" s="8"/>
      <c r="BI7" s="8"/>
      <c r="BJ7" s="8"/>
      <c r="BK7" s="8"/>
      <c r="BL7" s="16"/>
      <c r="BM7" s="48"/>
      <c r="BN7" s="53"/>
    </row>
    <row r="8" spans="1:66" ht="15" customHeight="1" thickBot="1" x14ac:dyDescent="0.35">
      <c r="B8" s="43"/>
      <c r="C8" s="44"/>
      <c r="D8" s="45"/>
      <c r="E8" s="21"/>
      <c r="F8" s="4"/>
      <c r="G8" s="22"/>
      <c r="L8" s="7"/>
      <c r="M8" s="8"/>
      <c r="N8" s="8"/>
      <c r="O8" s="48"/>
      <c r="P8" s="48"/>
      <c r="Q8" s="48"/>
      <c r="R8" s="48"/>
      <c r="S8" s="8"/>
      <c r="T8" s="8"/>
      <c r="U8" s="12"/>
      <c r="X8" s="7"/>
      <c r="Y8" s="8"/>
      <c r="Z8" s="8"/>
      <c r="AA8" s="48"/>
      <c r="AB8" s="14"/>
      <c r="AC8" s="14"/>
      <c r="AD8" s="48"/>
      <c r="AE8" s="8"/>
      <c r="AF8" s="8"/>
      <c r="AG8" s="12"/>
      <c r="AI8" s="7"/>
      <c r="AJ8" s="8"/>
      <c r="AK8" s="8"/>
      <c r="AL8" s="8"/>
      <c r="AM8" s="8"/>
      <c r="AN8" s="48"/>
      <c r="AO8" s="48"/>
      <c r="AP8" s="48"/>
      <c r="AQ8" s="48"/>
      <c r="AR8" s="53"/>
      <c r="AT8" s="7"/>
      <c r="AU8" s="8"/>
      <c r="AV8" s="8"/>
      <c r="AW8" s="48"/>
      <c r="AX8" s="48"/>
      <c r="AY8" s="48"/>
      <c r="AZ8" s="48"/>
      <c r="BA8" s="8"/>
      <c r="BB8" s="8"/>
      <c r="BC8" s="12"/>
      <c r="BE8" s="7"/>
      <c r="BF8" s="8"/>
      <c r="BG8" s="8"/>
      <c r="BH8" s="8"/>
      <c r="BI8" s="8"/>
      <c r="BJ8" s="48"/>
      <c r="BK8" s="48"/>
      <c r="BL8" s="16"/>
      <c r="BM8" s="48"/>
      <c r="BN8" s="53"/>
    </row>
    <row r="9" spans="1:66" ht="15" customHeight="1" x14ac:dyDescent="0.3">
      <c r="B9" s="31"/>
      <c r="C9" s="32"/>
      <c r="D9" s="33"/>
      <c r="E9" s="18" t="s">
        <v>8</v>
      </c>
      <c r="F9" s="2"/>
      <c r="G9" s="19"/>
      <c r="L9" s="7"/>
      <c r="M9" s="8"/>
      <c r="N9" s="8"/>
      <c r="O9" s="48"/>
      <c r="P9" s="48"/>
      <c r="Q9" s="48"/>
      <c r="R9" s="48"/>
      <c r="S9" s="8"/>
      <c r="T9" s="8"/>
      <c r="U9" s="12"/>
      <c r="X9" s="7"/>
      <c r="Y9" s="8"/>
      <c r="Z9" s="8"/>
      <c r="AA9" s="48"/>
      <c r="AB9" s="48"/>
      <c r="AC9" s="48"/>
      <c r="AD9" s="48"/>
      <c r="AE9" s="8"/>
      <c r="AF9" s="8"/>
      <c r="AG9" s="12"/>
      <c r="AI9" s="7"/>
      <c r="AJ9" s="8"/>
      <c r="AK9" s="8"/>
      <c r="AL9" s="8"/>
      <c r="AM9" s="48"/>
      <c r="AN9" s="48"/>
      <c r="AO9" s="48"/>
      <c r="AP9" s="48"/>
      <c r="AQ9" s="48"/>
      <c r="AR9" s="53"/>
      <c r="AT9" s="7"/>
      <c r="AU9" s="8"/>
      <c r="AV9" s="8"/>
      <c r="AW9" s="48"/>
      <c r="AX9" s="48"/>
      <c r="AY9" s="48"/>
      <c r="AZ9" s="48"/>
      <c r="BA9" s="8"/>
      <c r="BB9" s="8"/>
      <c r="BC9" s="12"/>
      <c r="BE9" s="7"/>
      <c r="BF9" s="8"/>
      <c r="BG9" s="8"/>
      <c r="BH9" s="8"/>
      <c r="BI9" s="48"/>
      <c r="BJ9" s="48"/>
      <c r="BK9" s="48"/>
      <c r="BL9" s="16"/>
      <c r="BM9" s="48"/>
      <c r="BN9" s="53"/>
    </row>
    <row r="10" spans="1:66" ht="15" customHeight="1" x14ac:dyDescent="0.3">
      <c r="B10" s="34"/>
      <c r="C10" s="16"/>
      <c r="D10" s="17"/>
      <c r="E10" s="20" t="s">
        <v>7</v>
      </c>
      <c r="G10" s="3"/>
      <c r="L10" s="7"/>
      <c r="M10" s="8"/>
      <c r="N10" s="8"/>
      <c r="O10" s="48"/>
      <c r="P10" s="48"/>
      <c r="Q10" s="48"/>
      <c r="R10" s="48"/>
      <c r="S10" s="8"/>
      <c r="T10" s="8"/>
      <c r="U10" s="12"/>
      <c r="X10" s="7"/>
      <c r="Y10" s="8"/>
      <c r="Z10" s="8"/>
      <c r="AA10" s="48"/>
      <c r="AB10" s="48"/>
      <c r="AC10" s="48"/>
      <c r="AD10" s="48"/>
      <c r="AE10" s="8"/>
      <c r="AF10" s="8"/>
      <c r="AG10" s="12"/>
      <c r="AI10" s="7"/>
      <c r="AJ10" s="8"/>
      <c r="AK10" s="8"/>
      <c r="AL10" s="8"/>
      <c r="AM10" s="48"/>
      <c r="AN10" s="48"/>
      <c r="AO10" s="48"/>
      <c r="AP10" s="48"/>
      <c r="AQ10" s="48"/>
      <c r="AR10" s="53"/>
      <c r="AT10" s="7"/>
      <c r="AU10" s="8"/>
      <c r="AV10" s="8"/>
      <c r="AW10" s="48"/>
      <c r="AX10" s="48"/>
      <c r="AY10" s="48"/>
      <c r="AZ10" s="48"/>
      <c r="BA10" s="8"/>
      <c r="BB10" s="8"/>
      <c r="BC10" s="12"/>
      <c r="BE10" s="7"/>
      <c r="BF10" s="8"/>
      <c r="BG10" s="8"/>
      <c r="BH10" s="8"/>
      <c r="BI10" s="48"/>
      <c r="BJ10" s="48"/>
      <c r="BK10" s="48"/>
      <c r="BL10" s="16"/>
      <c r="BM10" s="48"/>
      <c r="BN10" s="53"/>
    </row>
    <row r="11" spans="1:66" ht="15" customHeight="1" thickBot="1" x14ac:dyDescent="0.35">
      <c r="B11" s="35"/>
      <c r="C11" s="36"/>
      <c r="D11" s="37"/>
      <c r="E11" s="21"/>
      <c r="F11" s="4"/>
      <c r="G11" s="22"/>
      <c r="L11" s="7"/>
      <c r="M11" s="8"/>
      <c r="N11" s="8"/>
      <c r="O11" s="48"/>
      <c r="P11" s="48"/>
      <c r="Q11" s="48"/>
      <c r="R11" s="48"/>
      <c r="S11" s="8"/>
      <c r="T11" s="8"/>
      <c r="U11" s="12"/>
      <c r="X11" s="7"/>
      <c r="Y11" s="8"/>
      <c r="Z11" s="8"/>
      <c r="AA11" s="48"/>
      <c r="AB11" s="48"/>
      <c r="AC11" s="48"/>
      <c r="AD11" s="48"/>
      <c r="AE11" s="8"/>
      <c r="AF11" s="8"/>
      <c r="AG11" s="12"/>
      <c r="AI11" s="7"/>
      <c r="AJ11" s="8"/>
      <c r="AK11" s="8"/>
      <c r="AL11" s="48"/>
      <c r="AM11" s="48"/>
      <c r="AN11" s="48"/>
      <c r="AO11" s="48"/>
      <c r="AP11" s="48"/>
      <c r="AQ11" s="8"/>
      <c r="AR11" s="12"/>
      <c r="AT11" s="7"/>
      <c r="AU11" s="8"/>
      <c r="AV11" s="8"/>
      <c r="AW11" s="48"/>
      <c r="AX11" s="48"/>
      <c r="AY11" s="8"/>
      <c r="AZ11" s="8"/>
      <c r="BA11" s="8"/>
      <c r="BB11" s="8"/>
      <c r="BC11" s="12"/>
      <c r="BE11" s="7"/>
      <c r="BF11" s="8"/>
      <c r="BG11" s="8"/>
      <c r="BH11" s="15"/>
      <c r="BI11" s="15"/>
      <c r="BJ11" s="15"/>
      <c r="BK11" s="15"/>
      <c r="BL11" s="46"/>
      <c r="BM11" s="8"/>
      <c r="BN11" s="12"/>
    </row>
    <row r="12" spans="1:66" ht="15" customHeight="1" x14ac:dyDescent="0.3">
      <c r="B12" s="5"/>
      <c r="C12" s="6"/>
      <c r="D12" s="11"/>
      <c r="E12" s="18"/>
      <c r="F12" s="2"/>
      <c r="G12" s="19"/>
      <c r="L12" s="7"/>
      <c r="M12" s="8"/>
      <c r="N12" s="8"/>
      <c r="O12" s="48"/>
      <c r="P12" s="48"/>
      <c r="Q12" s="48"/>
      <c r="R12" s="48"/>
      <c r="S12" s="8"/>
      <c r="T12" s="8"/>
      <c r="U12" s="12"/>
      <c r="X12" s="7"/>
      <c r="Y12" s="8"/>
      <c r="Z12" s="8"/>
      <c r="AA12" s="48"/>
      <c r="AB12" s="48"/>
      <c r="AC12" s="48"/>
      <c r="AD12" s="48"/>
      <c r="AE12" s="8"/>
      <c r="AF12" s="8"/>
      <c r="AG12" s="12"/>
      <c r="AI12" s="7"/>
      <c r="AJ12" s="8"/>
      <c r="AK12" s="8"/>
      <c r="AL12" s="48"/>
      <c r="AM12" s="48"/>
      <c r="AN12" s="48"/>
      <c r="AO12" s="48"/>
      <c r="AP12" s="8"/>
      <c r="AQ12" s="8"/>
      <c r="AR12" s="12"/>
      <c r="AT12" s="7"/>
      <c r="AU12" s="8"/>
      <c r="AV12" s="8"/>
      <c r="AW12" s="48"/>
      <c r="AX12" s="48"/>
      <c r="AY12" s="48"/>
      <c r="AZ12" s="48"/>
      <c r="BA12" s="8"/>
      <c r="BB12" s="8"/>
      <c r="BC12" s="12"/>
      <c r="BE12" s="7"/>
      <c r="BF12" s="8"/>
      <c r="BG12" s="8"/>
      <c r="BH12" s="48"/>
      <c r="BI12" s="48"/>
      <c r="BJ12" s="48"/>
      <c r="BK12" s="48"/>
      <c r="BL12" s="8"/>
      <c r="BM12" s="8"/>
      <c r="BN12" s="12"/>
    </row>
    <row r="13" spans="1:66" ht="15" customHeight="1" thickBot="1" x14ac:dyDescent="0.35">
      <c r="B13" s="7"/>
      <c r="C13" s="8"/>
      <c r="D13" s="12"/>
      <c r="E13" s="20" t="s">
        <v>9</v>
      </c>
      <c r="G13" s="3"/>
      <c r="L13" s="9"/>
      <c r="M13" s="10"/>
      <c r="N13" s="10"/>
      <c r="O13" s="49"/>
      <c r="P13" s="49"/>
      <c r="Q13" s="49"/>
      <c r="R13" s="49"/>
      <c r="S13" s="10"/>
      <c r="T13" s="10"/>
      <c r="U13" s="13"/>
      <c r="X13" s="9"/>
      <c r="Y13" s="10"/>
      <c r="Z13" s="10"/>
      <c r="AA13" s="49"/>
      <c r="AB13" s="49"/>
      <c r="AC13" s="49"/>
      <c r="AD13" s="49"/>
      <c r="AE13" s="10"/>
      <c r="AF13" s="10"/>
      <c r="AG13" s="13"/>
      <c r="AI13" s="9"/>
      <c r="AJ13" s="10"/>
      <c r="AK13" s="10"/>
      <c r="AL13" s="49"/>
      <c r="AM13" s="49"/>
      <c r="AN13" s="49"/>
      <c r="AO13" s="49"/>
      <c r="AP13" s="10"/>
      <c r="AQ13" s="13"/>
      <c r="AR13" s="13"/>
      <c r="AT13" s="9"/>
      <c r="AU13" s="10"/>
      <c r="AV13" s="10"/>
      <c r="AW13" s="49"/>
      <c r="AX13" s="49"/>
      <c r="AY13" s="49"/>
      <c r="AZ13" s="49"/>
      <c r="BA13" s="10"/>
      <c r="BB13" s="10"/>
      <c r="BC13" s="13"/>
      <c r="BE13" s="9"/>
      <c r="BF13" s="10"/>
      <c r="BG13" s="10"/>
      <c r="BH13" s="49"/>
      <c r="BI13" s="49"/>
      <c r="BJ13" s="49"/>
      <c r="BK13" s="49"/>
      <c r="BL13" s="10"/>
      <c r="BM13" s="13"/>
      <c r="BN13" s="13"/>
    </row>
    <row r="14" spans="1:66" ht="15" customHeight="1" thickBot="1" x14ac:dyDescent="0.35">
      <c r="B14" s="9"/>
      <c r="C14" s="10"/>
      <c r="D14" s="13"/>
      <c r="E14" s="21"/>
      <c r="F14" s="4"/>
      <c r="G14" s="22"/>
      <c r="L14" s="1" t="s">
        <v>0</v>
      </c>
      <c r="X14" s="1" t="s">
        <v>1</v>
      </c>
      <c r="AI14" s="1" t="s">
        <v>2</v>
      </c>
      <c r="AT14" s="1" t="s">
        <v>3</v>
      </c>
      <c r="BE14" s="1" t="s">
        <v>4</v>
      </c>
    </row>
    <row r="15" spans="1:66" ht="15" customHeight="1" x14ac:dyDescent="0.3">
      <c r="B15" s="50"/>
      <c r="C15" s="47"/>
      <c r="D15" s="51"/>
      <c r="E15" s="2"/>
      <c r="F15" s="2"/>
      <c r="G15" s="19"/>
      <c r="L15" s="5"/>
      <c r="M15" s="6"/>
      <c r="N15" s="6"/>
      <c r="O15" s="47"/>
      <c r="P15" s="47"/>
      <c r="Q15" s="47"/>
      <c r="R15" s="47"/>
      <c r="S15" s="6"/>
      <c r="T15" s="6"/>
      <c r="U15" s="11"/>
      <c r="X15" s="5"/>
      <c r="Y15" s="6"/>
      <c r="Z15" s="6"/>
      <c r="AA15" s="47"/>
      <c r="AB15" s="47"/>
      <c r="AC15" s="47"/>
      <c r="AD15" s="47"/>
      <c r="AE15" s="6"/>
      <c r="AF15" s="6"/>
      <c r="AG15" s="11"/>
      <c r="AI15" s="5"/>
      <c r="AJ15" s="6"/>
      <c r="AK15" s="6"/>
      <c r="AL15" s="6"/>
      <c r="AM15" s="6"/>
      <c r="AN15" s="6"/>
      <c r="AO15" s="6"/>
      <c r="AP15" s="6"/>
      <c r="AQ15" s="6"/>
      <c r="AR15" s="11"/>
      <c r="AT15" s="5"/>
      <c r="AU15" s="6"/>
      <c r="AV15" s="6"/>
      <c r="AW15" s="47"/>
      <c r="AX15" s="47"/>
      <c r="AY15" s="47"/>
      <c r="AZ15" s="47"/>
      <c r="BA15" s="6"/>
      <c r="BB15" s="6"/>
      <c r="BC15" s="11"/>
      <c r="BE15" s="5"/>
      <c r="BF15" s="6"/>
      <c r="BG15" s="6"/>
      <c r="BH15" s="47"/>
      <c r="BI15" s="47"/>
      <c r="BJ15" s="47"/>
      <c r="BK15" s="47"/>
      <c r="BL15" s="6"/>
      <c r="BM15" s="6"/>
      <c r="BN15" s="11"/>
    </row>
    <row r="16" spans="1:66" ht="15" customHeight="1" x14ac:dyDescent="0.3">
      <c r="B16" s="52"/>
      <c r="C16" s="48"/>
      <c r="D16" s="53"/>
      <c r="E16" s="1" t="s">
        <v>76</v>
      </c>
      <c r="G16" s="3"/>
      <c r="L16" s="7"/>
      <c r="M16" s="8"/>
      <c r="N16" s="8"/>
      <c r="O16" s="16"/>
      <c r="P16" s="16"/>
      <c r="Q16" s="16"/>
      <c r="R16" s="16"/>
      <c r="S16" s="8"/>
      <c r="T16" s="8"/>
      <c r="U16" s="12"/>
      <c r="X16" s="7"/>
      <c r="Y16" s="8"/>
      <c r="Z16" s="8"/>
      <c r="AA16" s="48"/>
      <c r="AB16" s="48"/>
      <c r="AC16" s="48"/>
      <c r="AD16" s="48"/>
      <c r="AE16" s="8"/>
      <c r="AF16" s="8"/>
      <c r="AG16" s="12"/>
      <c r="AI16" s="7"/>
      <c r="AJ16" s="48"/>
      <c r="AK16" s="48"/>
      <c r="AL16" s="48"/>
      <c r="AM16" s="48"/>
      <c r="AN16" s="48"/>
      <c r="AO16" s="48"/>
      <c r="AP16" s="48"/>
      <c r="AQ16" s="48"/>
      <c r="AR16" s="53"/>
      <c r="AT16" s="7"/>
      <c r="AU16" s="48"/>
      <c r="AV16" s="48"/>
      <c r="AW16" s="48"/>
      <c r="AX16" s="48"/>
      <c r="AY16" s="48"/>
      <c r="AZ16" s="48"/>
      <c r="BA16" s="48"/>
      <c r="BB16" s="48"/>
      <c r="BC16" s="12"/>
      <c r="BE16" s="7"/>
      <c r="BF16" s="48"/>
      <c r="BG16" s="48"/>
      <c r="BH16" s="48"/>
      <c r="BI16" s="48"/>
      <c r="BJ16" s="48"/>
      <c r="BK16" s="48"/>
      <c r="BL16" s="48"/>
      <c r="BM16" s="48"/>
      <c r="BN16" s="12"/>
    </row>
    <row r="17" spans="2:66" ht="15" customHeight="1" thickBot="1" x14ac:dyDescent="0.35">
      <c r="B17" s="54"/>
      <c r="C17" s="49"/>
      <c r="D17" s="55"/>
      <c r="E17" s="4"/>
      <c r="F17" s="4"/>
      <c r="G17" s="22"/>
      <c r="L17" s="7"/>
      <c r="M17" s="8"/>
      <c r="N17" s="8"/>
      <c r="O17" s="48"/>
      <c r="P17" s="48"/>
      <c r="Q17" s="48"/>
      <c r="R17" s="48"/>
      <c r="S17" s="8"/>
      <c r="T17" s="8"/>
      <c r="U17" s="12"/>
      <c r="X17" s="7"/>
      <c r="Y17" s="8"/>
      <c r="Z17" s="8"/>
      <c r="AA17" s="8"/>
      <c r="AB17" s="48"/>
      <c r="AC17" s="48"/>
      <c r="AD17" s="48"/>
      <c r="AE17" s="8"/>
      <c r="AF17" s="8"/>
      <c r="AG17" s="12"/>
      <c r="AI17" s="7"/>
      <c r="AJ17" s="48"/>
      <c r="AK17" s="48"/>
      <c r="AL17" s="48"/>
      <c r="AM17" s="48"/>
      <c r="AN17" s="48"/>
      <c r="AO17" s="48"/>
      <c r="AP17" s="48"/>
      <c r="AQ17" s="48"/>
      <c r="AR17" s="53"/>
      <c r="AT17" s="7"/>
      <c r="AU17" s="48"/>
      <c r="AV17" s="48"/>
      <c r="AW17" s="48"/>
      <c r="AX17" s="48"/>
      <c r="AY17" s="48"/>
      <c r="AZ17" s="48"/>
      <c r="BA17" s="48"/>
      <c r="BB17" s="48"/>
      <c r="BC17" s="12"/>
      <c r="BE17" s="7"/>
      <c r="BF17" s="48"/>
      <c r="BG17" s="48"/>
      <c r="BH17" s="48"/>
      <c r="BI17" s="48"/>
      <c r="BJ17" s="48"/>
      <c r="BK17" s="48"/>
      <c r="BL17" s="48"/>
      <c r="BM17" s="48"/>
      <c r="BN17" s="12"/>
    </row>
    <row r="18" spans="2:66" ht="15" customHeight="1" x14ac:dyDescent="0.3">
      <c r="B18" s="59"/>
      <c r="C18" s="60"/>
      <c r="D18" s="61"/>
      <c r="E18" s="18" t="s">
        <v>77</v>
      </c>
      <c r="F18" s="2"/>
      <c r="G18" s="19"/>
      <c r="L18" s="7"/>
      <c r="M18" s="8"/>
      <c r="N18" s="8"/>
      <c r="O18" s="48"/>
      <c r="P18" s="48"/>
      <c r="Q18" s="48"/>
      <c r="R18" s="48"/>
      <c r="S18" s="8"/>
      <c r="T18" s="8"/>
      <c r="U18" s="12"/>
      <c r="X18" s="7"/>
      <c r="Y18" s="8"/>
      <c r="Z18" s="8"/>
      <c r="AA18" s="48"/>
      <c r="AB18" s="48"/>
      <c r="AC18" s="48"/>
      <c r="AD18" s="8"/>
      <c r="AE18" s="8"/>
      <c r="AF18" s="8"/>
      <c r="AG18" s="12"/>
      <c r="AI18" s="7"/>
      <c r="AJ18" s="48"/>
      <c r="AK18" s="48"/>
      <c r="AL18" s="8"/>
      <c r="AM18" s="8"/>
      <c r="AN18" s="8"/>
      <c r="AO18" s="8"/>
      <c r="AP18" s="8"/>
      <c r="AQ18" s="8"/>
      <c r="AR18" s="12"/>
      <c r="AT18" s="7"/>
      <c r="AU18" s="48"/>
      <c r="AV18" s="48"/>
      <c r="AW18" s="48"/>
      <c r="AX18" s="48"/>
      <c r="AY18" s="48"/>
      <c r="AZ18" s="48"/>
      <c r="BA18" s="48"/>
      <c r="BB18" s="48"/>
      <c r="BC18" s="12"/>
      <c r="BE18" s="52"/>
      <c r="BF18" s="48"/>
      <c r="BG18" s="48"/>
      <c r="BH18" s="48"/>
      <c r="BI18" s="48"/>
      <c r="BJ18" s="48"/>
      <c r="BK18" s="48"/>
      <c r="BL18" s="48"/>
      <c r="BM18" s="48"/>
      <c r="BN18" s="53"/>
    </row>
    <row r="19" spans="2:66" ht="15" customHeight="1" x14ac:dyDescent="0.3">
      <c r="B19" s="56"/>
      <c r="C19" s="57"/>
      <c r="D19" s="58"/>
      <c r="E19" s="20" t="s">
        <v>7</v>
      </c>
      <c r="G19" s="3"/>
      <c r="L19" s="7"/>
      <c r="M19" s="8"/>
      <c r="N19" s="8"/>
      <c r="O19" s="15"/>
      <c r="P19" s="15"/>
      <c r="Q19" s="15"/>
      <c r="R19" s="15"/>
      <c r="S19" s="8"/>
      <c r="T19" s="8"/>
      <c r="U19" s="12"/>
      <c r="X19" s="7"/>
      <c r="Y19" s="8"/>
      <c r="Z19" s="48"/>
      <c r="AA19" s="48"/>
      <c r="AB19" s="48"/>
      <c r="AC19" s="8"/>
      <c r="AD19" s="8"/>
      <c r="AE19" s="8"/>
      <c r="AF19" s="8"/>
      <c r="AG19" s="12"/>
      <c r="AI19" s="7"/>
      <c r="AJ19" s="48"/>
      <c r="AK19" s="48"/>
      <c r="AL19" s="48"/>
      <c r="AM19" s="48"/>
      <c r="AN19" s="48"/>
      <c r="AO19" s="48"/>
      <c r="AP19" s="48"/>
      <c r="AQ19" s="48"/>
      <c r="AR19" s="12"/>
      <c r="AT19" s="7"/>
      <c r="AU19" s="48"/>
      <c r="AV19" s="48"/>
      <c r="AW19" s="48"/>
      <c r="AX19" s="8"/>
      <c r="AY19" s="8"/>
      <c r="AZ19" s="48"/>
      <c r="BA19" s="48"/>
      <c r="BB19" s="48"/>
      <c r="BC19" s="12"/>
      <c r="BE19" s="52"/>
      <c r="BF19" s="48"/>
      <c r="BG19" s="48"/>
      <c r="BH19" s="48"/>
      <c r="BI19" s="8"/>
      <c r="BJ19" s="8"/>
      <c r="BK19" s="48"/>
      <c r="BL19" s="48"/>
      <c r="BM19" s="48"/>
      <c r="BN19" s="53"/>
    </row>
    <row r="20" spans="2:66" ht="15" customHeight="1" thickBot="1" x14ac:dyDescent="0.35">
      <c r="B20" s="62"/>
      <c r="C20" s="63"/>
      <c r="D20" s="64"/>
      <c r="E20" s="21"/>
      <c r="F20" s="4"/>
      <c r="G20" s="22"/>
      <c r="L20" s="7"/>
      <c r="M20" s="8"/>
      <c r="N20" s="8"/>
      <c r="O20" s="48"/>
      <c r="P20" s="48"/>
      <c r="Q20" s="48"/>
      <c r="R20" s="48"/>
      <c r="S20" s="8"/>
      <c r="T20" s="8"/>
      <c r="U20" s="12"/>
      <c r="X20" s="7"/>
      <c r="Y20" s="8"/>
      <c r="Z20" s="48"/>
      <c r="AA20" s="48"/>
      <c r="AB20" s="48"/>
      <c r="AC20" s="48"/>
      <c r="AD20" s="8"/>
      <c r="AE20" s="8"/>
      <c r="AF20" s="8"/>
      <c r="AG20" s="12"/>
      <c r="AI20" s="7"/>
      <c r="AJ20" s="48"/>
      <c r="AK20" s="48"/>
      <c r="AL20" s="48"/>
      <c r="AM20" s="48"/>
      <c r="AN20" s="48"/>
      <c r="AO20" s="48"/>
      <c r="AP20" s="48"/>
      <c r="AQ20" s="48"/>
      <c r="AR20" s="12"/>
      <c r="AT20" s="7"/>
      <c r="AU20" s="48"/>
      <c r="AV20" s="48"/>
      <c r="AW20" s="48"/>
      <c r="AX20" s="8"/>
      <c r="AY20" s="8"/>
      <c r="AZ20" s="48"/>
      <c r="BA20" s="48"/>
      <c r="BB20" s="48"/>
      <c r="BC20" s="12"/>
      <c r="BE20" s="52"/>
      <c r="BF20" s="48"/>
      <c r="BG20" s="48"/>
      <c r="BH20" s="48"/>
      <c r="BI20" s="8"/>
      <c r="BJ20" s="8"/>
      <c r="BK20" s="48"/>
      <c r="BL20" s="48"/>
      <c r="BM20" s="48"/>
      <c r="BN20" s="53"/>
    </row>
    <row r="21" spans="2:66" ht="15" customHeight="1" x14ac:dyDescent="0.3">
      <c r="B21" s="83"/>
      <c r="C21" s="86"/>
      <c r="D21" s="84"/>
      <c r="E21" s="18" t="s">
        <v>78</v>
      </c>
      <c r="F21" s="2"/>
      <c r="G21" s="19"/>
      <c r="L21" s="7"/>
      <c r="M21" s="8"/>
      <c r="N21" s="8"/>
      <c r="O21" s="48"/>
      <c r="P21" s="48"/>
      <c r="Q21" s="48"/>
      <c r="R21" s="48"/>
      <c r="S21" s="8"/>
      <c r="T21" s="8"/>
      <c r="U21" s="12"/>
      <c r="X21" s="7"/>
      <c r="Y21" s="8"/>
      <c r="Z21" s="48"/>
      <c r="AA21" s="48"/>
      <c r="AB21" s="48"/>
      <c r="AC21" s="48"/>
      <c r="AD21" s="48"/>
      <c r="AE21" s="48"/>
      <c r="AF21" s="8"/>
      <c r="AG21" s="12"/>
      <c r="AI21" s="7"/>
      <c r="AJ21" s="8"/>
      <c r="AK21" s="8"/>
      <c r="AL21" s="8"/>
      <c r="AM21" s="8"/>
      <c r="AN21" s="8"/>
      <c r="AO21" s="8"/>
      <c r="AP21" s="48"/>
      <c r="AQ21" s="48"/>
      <c r="AR21" s="12"/>
      <c r="AT21" s="7"/>
      <c r="AU21" s="48"/>
      <c r="AV21" s="48"/>
      <c r="AW21" s="48"/>
      <c r="AX21" s="48"/>
      <c r="AY21" s="48"/>
      <c r="AZ21" s="48"/>
      <c r="BA21" s="48"/>
      <c r="BB21" s="48"/>
      <c r="BC21" s="12"/>
      <c r="BE21" s="52"/>
      <c r="BF21" s="48"/>
      <c r="BG21" s="48"/>
      <c r="BH21" s="48"/>
      <c r="BI21" s="48"/>
      <c r="BJ21" s="48"/>
      <c r="BK21" s="48"/>
      <c r="BL21" s="48"/>
      <c r="BM21" s="48"/>
      <c r="BN21" s="53"/>
    </row>
    <row r="22" spans="2:66" ht="15" customHeight="1" x14ac:dyDescent="0.3">
      <c r="B22" s="85"/>
      <c r="C22" s="86"/>
      <c r="D22" s="87"/>
      <c r="E22" s="20" t="s">
        <v>7</v>
      </c>
      <c r="G22" s="3"/>
      <c r="L22" s="7"/>
      <c r="M22" s="8"/>
      <c r="N22" s="8"/>
      <c r="O22" s="16"/>
      <c r="P22" s="16"/>
      <c r="Q22" s="16"/>
      <c r="R22" s="16"/>
      <c r="S22" s="8"/>
      <c r="T22" s="8"/>
      <c r="U22" s="12"/>
      <c r="X22" s="7"/>
      <c r="Y22" s="8"/>
      <c r="Z22" s="8"/>
      <c r="AA22" s="48"/>
      <c r="AB22" s="48"/>
      <c r="AC22" s="48"/>
      <c r="AD22" s="48"/>
      <c r="AE22" s="8"/>
      <c r="AF22" s="8"/>
      <c r="AG22" s="12"/>
      <c r="AI22" s="7"/>
      <c r="AJ22" s="8"/>
      <c r="AK22" s="8"/>
      <c r="AL22" s="48"/>
      <c r="AM22" s="48"/>
      <c r="AN22" s="48"/>
      <c r="AO22" s="48"/>
      <c r="AP22" s="48"/>
      <c r="AQ22" s="48"/>
      <c r="AR22" s="12"/>
      <c r="AT22" s="7"/>
      <c r="AU22" s="48"/>
      <c r="AV22" s="48"/>
      <c r="AW22" s="48"/>
      <c r="AX22" s="48"/>
      <c r="AY22" s="48"/>
      <c r="AZ22" s="48"/>
      <c r="BA22" s="48"/>
      <c r="BB22" s="48"/>
      <c r="BC22" s="12"/>
      <c r="BE22" s="7"/>
      <c r="BF22" s="48"/>
      <c r="BG22" s="48"/>
      <c r="BH22" s="48"/>
      <c r="BI22" s="48"/>
      <c r="BJ22" s="48"/>
      <c r="BK22" s="48"/>
      <c r="BL22" s="48"/>
      <c r="BM22" s="48"/>
      <c r="BN22" s="12"/>
    </row>
    <row r="23" spans="2:66" ht="15" customHeight="1" thickBot="1" x14ac:dyDescent="0.35">
      <c r="B23" s="85"/>
      <c r="C23" s="86"/>
      <c r="D23" s="87"/>
      <c r="E23" s="20"/>
      <c r="G23" s="3"/>
      <c r="L23" s="7"/>
      <c r="M23" s="8"/>
      <c r="N23" s="8"/>
      <c r="O23" s="48"/>
      <c r="P23" s="48"/>
      <c r="Q23" s="48"/>
      <c r="R23" s="48"/>
      <c r="S23" s="8"/>
      <c r="T23" s="8"/>
      <c r="U23" s="12"/>
      <c r="X23" s="7"/>
      <c r="Y23" s="8"/>
      <c r="Z23" s="8"/>
      <c r="AA23" s="8"/>
      <c r="AB23" s="48"/>
      <c r="AC23" s="48"/>
      <c r="AD23" s="8"/>
      <c r="AE23" s="8"/>
      <c r="AF23" s="8"/>
      <c r="AG23" s="12"/>
      <c r="AI23" s="7"/>
      <c r="AJ23" s="8"/>
      <c r="AK23" s="8"/>
      <c r="AL23" s="48"/>
      <c r="AM23" s="48"/>
      <c r="AN23" s="48"/>
      <c r="AO23" s="48"/>
      <c r="AP23" s="48"/>
      <c r="AQ23" s="48"/>
      <c r="AR23" s="12"/>
      <c r="AT23" s="7"/>
      <c r="AU23" s="48"/>
      <c r="AV23" s="48"/>
      <c r="AW23" s="48"/>
      <c r="AX23" s="48"/>
      <c r="AY23" s="48"/>
      <c r="AZ23" s="48"/>
      <c r="BA23" s="48"/>
      <c r="BB23" s="48"/>
      <c r="BC23" s="12"/>
      <c r="BE23" s="7"/>
      <c r="BF23" s="48"/>
      <c r="BG23" s="48"/>
      <c r="BH23" s="48"/>
      <c r="BI23" s="48"/>
      <c r="BJ23" s="48"/>
      <c r="BK23" s="48"/>
      <c r="BL23" s="48"/>
      <c r="BM23" s="48"/>
      <c r="BN23" s="12"/>
    </row>
    <row r="24" spans="2:66" ht="15" customHeight="1" thickBot="1" x14ac:dyDescent="0.35">
      <c r="B24" s="73"/>
      <c r="C24" s="74"/>
      <c r="D24" s="74"/>
      <c r="E24" s="18"/>
      <c r="F24" s="2"/>
      <c r="G24" s="19"/>
      <c r="L24" s="9"/>
      <c r="M24" s="10"/>
      <c r="N24" s="10"/>
      <c r="O24" s="49"/>
      <c r="P24" s="49"/>
      <c r="Q24" s="49"/>
      <c r="R24" s="49"/>
      <c r="S24" s="10"/>
      <c r="T24" s="10"/>
      <c r="U24" s="13"/>
      <c r="X24" s="9"/>
      <c r="Y24" s="10"/>
      <c r="Z24" s="10"/>
      <c r="AA24" s="49"/>
      <c r="AB24" s="49"/>
      <c r="AC24" s="49"/>
      <c r="AD24" s="49"/>
      <c r="AE24" s="10"/>
      <c r="AF24" s="10"/>
      <c r="AG24" s="13"/>
      <c r="AI24" s="9"/>
      <c r="AJ24" s="10"/>
      <c r="AK24" s="10"/>
      <c r="AL24" s="49"/>
      <c r="AM24" s="49"/>
      <c r="AN24" s="49"/>
      <c r="AO24" s="49"/>
      <c r="AP24" s="10"/>
      <c r="AQ24" s="10"/>
      <c r="AR24" s="13"/>
      <c r="AT24" s="9"/>
      <c r="AU24" s="10"/>
      <c r="AV24" s="10"/>
      <c r="AW24" s="49"/>
      <c r="AX24" s="49"/>
      <c r="AY24" s="49"/>
      <c r="AZ24" s="49"/>
      <c r="BA24" s="10"/>
      <c r="BB24" s="10"/>
      <c r="BC24" s="13"/>
      <c r="BE24" s="9"/>
      <c r="BF24" s="10"/>
      <c r="BG24" s="10"/>
      <c r="BH24" s="49"/>
      <c r="BI24" s="49"/>
      <c r="BJ24" s="49"/>
      <c r="BK24" s="49"/>
      <c r="BL24" s="10"/>
      <c r="BM24" s="10"/>
      <c r="BN24" s="13"/>
    </row>
    <row r="25" spans="2:66" ht="15" customHeight="1" thickBot="1" x14ac:dyDescent="0.35">
      <c r="B25" s="75"/>
      <c r="C25" s="76"/>
      <c r="D25" s="76"/>
      <c r="E25" s="20" t="s">
        <v>79</v>
      </c>
      <c r="G25" s="3"/>
      <c r="L25" s="1" t="s">
        <v>10</v>
      </c>
      <c r="X25" s="1" t="s">
        <v>14</v>
      </c>
      <c r="AI25" s="1" t="s">
        <v>15</v>
      </c>
      <c r="AT25" s="1" t="s">
        <v>16</v>
      </c>
      <c r="BE25" s="1" t="s">
        <v>17</v>
      </c>
    </row>
    <row r="26" spans="2:66" ht="15" customHeight="1" thickBot="1" x14ac:dyDescent="0.35">
      <c r="B26" s="77"/>
      <c r="C26" s="78"/>
      <c r="D26" s="78"/>
      <c r="E26" s="21" t="s">
        <v>7</v>
      </c>
      <c r="F26" s="4"/>
      <c r="G26" s="22"/>
      <c r="L26" s="5"/>
      <c r="M26" s="6"/>
      <c r="N26" s="6"/>
      <c r="O26" s="47"/>
      <c r="P26" s="47"/>
      <c r="Q26" s="47"/>
      <c r="R26" s="47"/>
      <c r="S26" s="6"/>
      <c r="T26" s="6"/>
      <c r="U26" s="11"/>
      <c r="X26" s="5"/>
      <c r="Y26" s="6"/>
      <c r="Z26" s="6"/>
      <c r="AA26" s="6"/>
      <c r="AB26" s="47"/>
      <c r="AC26" s="47"/>
      <c r="AD26" s="6"/>
      <c r="AE26" s="6"/>
      <c r="AF26" s="6"/>
      <c r="AG26" s="11"/>
      <c r="AI26" s="5"/>
      <c r="AJ26" s="6"/>
      <c r="AK26" s="6"/>
      <c r="AL26" s="47"/>
      <c r="AM26" s="47"/>
      <c r="AN26" s="47"/>
      <c r="AO26" s="47"/>
      <c r="AP26" s="6"/>
      <c r="AQ26" s="6"/>
      <c r="AR26" s="11"/>
      <c r="AT26" s="5"/>
      <c r="AU26" s="6"/>
      <c r="AV26" s="6"/>
      <c r="AW26" s="47"/>
      <c r="AX26" s="47"/>
      <c r="AY26" s="47"/>
      <c r="AZ26" s="47"/>
      <c r="BA26" s="6"/>
      <c r="BB26" s="6"/>
      <c r="BC26" s="11"/>
      <c r="BE26" s="5"/>
      <c r="BF26" s="6"/>
      <c r="BG26" s="6"/>
      <c r="BH26" s="47"/>
      <c r="BI26" s="47"/>
      <c r="BJ26" s="47"/>
      <c r="BK26" s="47"/>
      <c r="BL26" s="6"/>
      <c r="BM26" s="6"/>
      <c r="BN26" s="11"/>
    </row>
    <row r="27" spans="2:66" ht="15" customHeight="1" x14ac:dyDescent="0.3">
      <c r="L27" s="7"/>
      <c r="M27" s="8"/>
      <c r="N27" s="8"/>
      <c r="O27" s="15"/>
      <c r="P27" s="15"/>
      <c r="Q27" s="15"/>
      <c r="R27" s="15"/>
      <c r="S27" s="8"/>
      <c r="T27" s="8"/>
      <c r="U27" s="12"/>
      <c r="X27" s="7"/>
      <c r="Y27" s="8"/>
      <c r="Z27" s="8"/>
      <c r="AA27" s="8"/>
      <c r="AB27" s="48"/>
      <c r="AC27" s="48"/>
      <c r="AD27" s="8"/>
      <c r="AE27" s="8"/>
      <c r="AF27" s="8"/>
      <c r="AG27" s="12"/>
      <c r="AI27" s="7"/>
      <c r="AJ27" s="8"/>
      <c r="AK27" s="8"/>
      <c r="AL27" s="48"/>
      <c r="AM27" s="48"/>
      <c r="AN27" s="48"/>
      <c r="AO27" s="48"/>
      <c r="AP27" s="8"/>
      <c r="AQ27" s="8"/>
      <c r="AR27" s="12"/>
      <c r="AT27" s="7"/>
      <c r="AU27" s="8"/>
      <c r="AV27" s="8"/>
      <c r="AW27" s="48"/>
      <c r="AX27" s="48"/>
      <c r="AY27" s="48"/>
      <c r="AZ27" s="48"/>
      <c r="BA27" s="8"/>
      <c r="BB27" s="8"/>
      <c r="BC27" s="12"/>
      <c r="BE27" s="7"/>
      <c r="BF27" s="15"/>
      <c r="BG27" s="48"/>
      <c r="BH27" s="48"/>
      <c r="BI27" s="48"/>
      <c r="BJ27" s="48"/>
      <c r="BK27" s="48"/>
      <c r="BL27" s="48"/>
      <c r="BM27" s="16"/>
      <c r="BN27" s="12"/>
    </row>
    <row r="28" spans="2:66" ht="15" customHeight="1" x14ac:dyDescent="0.3">
      <c r="E28" s="139"/>
      <c r="L28" s="7"/>
      <c r="M28" s="8"/>
      <c r="N28" s="8"/>
      <c r="O28" s="48"/>
      <c r="P28" s="48"/>
      <c r="Q28" s="48"/>
      <c r="R28" s="48"/>
      <c r="S28" s="8"/>
      <c r="T28" s="8"/>
      <c r="U28" s="12"/>
      <c r="X28" s="7"/>
      <c r="Y28" s="8"/>
      <c r="Z28" s="8"/>
      <c r="AA28" s="8"/>
      <c r="AB28" s="48"/>
      <c r="AC28" s="48"/>
      <c r="AD28" s="8"/>
      <c r="AE28" s="8"/>
      <c r="AF28" s="8"/>
      <c r="AG28" s="12"/>
      <c r="AI28" s="7"/>
      <c r="AJ28" s="8"/>
      <c r="AK28" s="8"/>
      <c r="AL28" s="48"/>
      <c r="AM28" s="48"/>
      <c r="AN28" s="48"/>
      <c r="AO28" s="48"/>
      <c r="AP28" s="8"/>
      <c r="AQ28" s="8"/>
      <c r="AR28" s="12"/>
      <c r="AT28" s="7"/>
      <c r="AU28" s="8"/>
      <c r="AV28" s="8"/>
      <c r="AW28" s="48"/>
      <c r="AX28" s="48"/>
      <c r="AY28" s="48"/>
      <c r="AZ28" s="48"/>
      <c r="BA28" s="8"/>
      <c r="BB28" s="8"/>
      <c r="BC28" s="12"/>
      <c r="BE28" s="7"/>
      <c r="BF28" s="48"/>
      <c r="BG28" s="15"/>
      <c r="BH28" s="48"/>
      <c r="BI28" s="48"/>
      <c r="BJ28" s="48"/>
      <c r="BK28" s="48"/>
      <c r="BL28" s="16"/>
      <c r="BM28" s="48"/>
      <c r="BN28" s="12"/>
    </row>
    <row r="29" spans="2:66" ht="15" customHeight="1" x14ac:dyDescent="0.3">
      <c r="L29" s="7"/>
      <c r="M29" s="8"/>
      <c r="N29" s="8"/>
      <c r="O29" s="48"/>
      <c r="P29" s="48"/>
      <c r="Q29" s="48"/>
      <c r="R29" s="48"/>
      <c r="S29" s="8"/>
      <c r="T29" s="8"/>
      <c r="U29" s="12"/>
      <c r="X29" s="7"/>
      <c r="Y29" s="8"/>
      <c r="Z29" s="8"/>
      <c r="AA29" s="8"/>
      <c r="AB29" s="48"/>
      <c r="AC29" s="48"/>
      <c r="AD29" s="8"/>
      <c r="AE29" s="8"/>
      <c r="AF29" s="8"/>
      <c r="AG29" s="12"/>
      <c r="AI29" s="52"/>
      <c r="AJ29" s="48"/>
      <c r="AK29" s="48"/>
      <c r="AL29" s="48"/>
      <c r="AM29" s="48"/>
      <c r="AN29" s="48"/>
      <c r="AO29" s="48"/>
      <c r="AP29" s="48"/>
      <c r="AQ29" s="48"/>
      <c r="AR29" s="53"/>
      <c r="AT29" s="52"/>
      <c r="AU29" s="48"/>
      <c r="AV29" s="48"/>
      <c r="AW29" s="48"/>
      <c r="AX29" s="48"/>
      <c r="AY29" s="48"/>
      <c r="AZ29" s="48"/>
      <c r="BA29" s="8"/>
      <c r="BB29" s="8"/>
      <c r="BC29" s="12"/>
      <c r="BE29" s="52"/>
      <c r="BF29" s="48"/>
      <c r="BG29" s="48"/>
      <c r="BH29" s="15"/>
      <c r="BI29" s="48"/>
      <c r="BJ29" s="48"/>
      <c r="BK29" s="16"/>
      <c r="BL29" s="48"/>
      <c r="BM29" s="48"/>
      <c r="BN29" s="53"/>
    </row>
    <row r="30" spans="2:66" ht="15" customHeight="1" x14ac:dyDescent="0.3">
      <c r="L30" s="7"/>
      <c r="M30" s="8"/>
      <c r="N30" s="8"/>
      <c r="O30" s="16"/>
      <c r="P30" s="16"/>
      <c r="Q30" s="16"/>
      <c r="R30" s="16"/>
      <c r="S30" s="8"/>
      <c r="T30" s="8"/>
      <c r="U30" s="12"/>
      <c r="X30" s="7"/>
      <c r="Y30" s="8"/>
      <c r="Z30" s="8"/>
      <c r="AA30" s="8"/>
      <c r="AB30" s="48"/>
      <c r="AC30" s="48"/>
      <c r="AD30" s="8"/>
      <c r="AE30" s="8"/>
      <c r="AF30" s="8"/>
      <c r="AG30" s="12"/>
      <c r="AI30" s="52"/>
      <c r="AJ30" s="48"/>
      <c r="AK30" s="48"/>
      <c r="AL30" s="48"/>
      <c r="AM30" s="48"/>
      <c r="AN30" s="48"/>
      <c r="AO30" s="48"/>
      <c r="AP30" s="48"/>
      <c r="AQ30" s="48"/>
      <c r="AR30" s="53"/>
      <c r="AT30" s="52"/>
      <c r="AU30" s="48"/>
      <c r="AV30" s="48"/>
      <c r="AW30" s="48"/>
      <c r="AX30" s="48"/>
      <c r="AY30" s="48"/>
      <c r="AZ30" s="48"/>
      <c r="BA30" s="8"/>
      <c r="BB30" s="8"/>
      <c r="BC30" s="12"/>
      <c r="BE30" s="52"/>
      <c r="BF30" s="48"/>
      <c r="BG30" s="48"/>
      <c r="BH30" s="48"/>
      <c r="BI30" s="8"/>
      <c r="BJ30" s="8"/>
      <c r="BK30" s="48"/>
      <c r="BL30" s="48"/>
      <c r="BM30" s="48"/>
      <c r="BN30" s="53"/>
    </row>
    <row r="31" spans="2:66" ht="15" customHeight="1" x14ac:dyDescent="0.3">
      <c r="L31" s="7"/>
      <c r="M31" s="8"/>
      <c r="N31" s="8"/>
      <c r="O31" s="48"/>
      <c r="P31" s="48"/>
      <c r="Q31" s="48"/>
      <c r="R31" s="48"/>
      <c r="S31" s="8"/>
      <c r="T31" s="8"/>
      <c r="U31" s="12"/>
      <c r="X31" s="7"/>
      <c r="Y31" s="8"/>
      <c r="Z31" s="8"/>
      <c r="AA31" s="8"/>
      <c r="AB31" s="48"/>
      <c r="AC31" s="48"/>
      <c r="AD31" s="8"/>
      <c r="AE31" s="8"/>
      <c r="AF31" s="8"/>
      <c r="AG31" s="12"/>
      <c r="AI31" s="52"/>
      <c r="AJ31" s="48"/>
      <c r="AK31" s="48"/>
      <c r="AL31" s="48"/>
      <c r="AM31" s="48"/>
      <c r="AN31" s="48"/>
      <c r="AO31" s="48"/>
      <c r="AP31" s="48"/>
      <c r="AQ31" s="48"/>
      <c r="AR31" s="53"/>
      <c r="AT31" s="52"/>
      <c r="AU31" s="48"/>
      <c r="AV31" s="48"/>
      <c r="AW31" s="48"/>
      <c r="AX31" s="48"/>
      <c r="AY31" s="48"/>
      <c r="AZ31" s="48"/>
      <c r="BA31" s="8"/>
      <c r="BB31" s="8"/>
      <c r="BC31" s="12"/>
      <c r="BE31" s="52"/>
      <c r="BF31" s="48"/>
      <c r="BG31" s="48"/>
      <c r="BH31" s="48"/>
      <c r="BI31" s="8"/>
      <c r="BJ31" s="8"/>
      <c r="BK31" s="48"/>
      <c r="BL31" s="48"/>
      <c r="BM31" s="48"/>
      <c r="BN31" s="53"/>
    </row>
    <row r="32" spans="2:66" ht="15" customHeight="1" x14ac:dyDescent="0.3">
      <c r="L32" s="7"/>
      <c r="M32" s="8"/>
      <c r="N32" s="8"/>
      <c r="O32" s="48"/>
      <c r="P32" s="48"/>
      <c r="Q32" s="48"/>
      <c r="R32" s="48"/>
      <c r="S32" s="8"/>
      <c r="T32" s="8"/>
      <c r="U32" s="12"/>
      <c r="X32" s="7"/>
      <c r="Y32" s="8"/>
      <c r="Z32" s="8"/>
      <c r="AA32" s="8"/>
      <c r="AB32" s="48"/>
      <c r="AC32" s="48"/>
      <c r="AD32" s="8"/>
      <c r="AE32" s="8"/>
      <c r="AF32" s="8"/>
      <c r="AG32" s="12"/>
      <c r="AI32" s="52"/>
      <c r="AJ32" s="48"/>
      <c r="AK32" s="48"/>
      <c r="AL32" s="48"/>
      <c r="AM32" s="48"/>
      <c r="AN32" s="48"/>
      <c r="AO32" s="48"/>
      <c r="AP32" s="48"/>
      <c r="AQ32" s="48"/>
      <c r="AR32" s="53"/>
      <c r="AT32" s="52"/>
      <c r="AU32" s="48"/>
      <c r="AV32" s="48"/>
      <c r="AW32" s="48"/>
      <c r="AX32" s="48"/>
      <c r="AY32" s="48"/>
      <c r="AZ32" s="48"/>
      <c r="BA32" s="8"/>
      <c r="BB32" s="8"/>
      <c r="BC32" s="12"/>
      <c r="BE32" s="52"/>
      <c r="BF32" s="48"/>
      <c r="BG32" s="48"/>
      <c r="BH32" s="16"/>
      <c r="BI32" s="48"/>
      <c r="BJ32" s="48"/>
      <c r="BK32" s="15"/>
      <c r="BL32" s="48"/>
      <c r="BM32" s="48"/>
      <c r="BN32" s="53"/>
    </row>
    <row r="33" spans="12:66" ht="15" customHeight="1" x14ac:dyDescent="0.3">
      <c r="L33" s="7"/>
      <c r="M33" s="8"/>
      <c r="N33" s="8"/>
      <c r="O33" s="15"/>
      <c r="P33" s="15"/>
      <c r="Q33" s="15"/>
      <c r="R33" s="15"/>
      <c r="S33" s="8"/>
      <c r="T33" s="8"/>
      <c r="U33" s="12"/>
      <c r="X33" s="7"/>
      <c r="Y33" s="8"/>
      <c r="Z33" s="8"/>
      <c r="AA33" s="48"/>
      <c r="AB33" s="48"/>
      <c r="AC33" s="48"/>
      <c r="AD33" s="48"/>
      <c r="AE33" s="8"/>
      <c r="AF33" s="8"/>
      <c r="AG33" s="12"/>
      <c r="AI33" s="7"/>
      <c r="AJ33" s="8"/>
      <c r="AK33" s="8"/>
      <c r="AL33" s="48"/>
      <c r="AM33" s="48"/>
      <c r="AN33" s="48"/>
      <c r="AO33" s="48"/>
      <c r="AP33" s="8"/>
      <c r="AQ33" s="8"/>
      <c r="AR33" s="12"/>
      <c r="AT33" s="7"/>
      <c r="AU33" s="8"/>
      <c r="AV33" s="8"/>
      <c r="AW33" s="48"/>
      <c r="AX33" s="48"/>
      <c r="AY33" s="48"/>
      <c r="AZ33" s="48"/>
      <c r="BA33" s="8"/>
      <c r="BB33" s="8"/>
      <c r="BC33" s="12"/>
      <c r="BE33" s="7"/>
      <c r="BF33" s="48"/>
      <c r="BG33" s="16"/>
      <c r="BH33" s="48"/>
      <c r="BI33" s="48"/>
      <c r="BJ33" s="48"/>
      <c r="BK33" s="48"/>
      <c r="BL33" s="15"/>
      <c r="BM33" s="48"/>
      <c r="BN33" s="12"/>
    </row>
    <row r="34" spans="12:66" ht="15" customHeight="1" x14ac:dyDescent="0.3">
      <c r="L34" s="7"/>
      <c r="M34" s="8"/>
      <c r="N34" s="8"/>
      <c r="O34" s="48"/>
      <c r="P34" s="48"/>
      <c r="Q34" s="48"/>
      <c r="R34" s="48"/>
      <c r="S34" s="8"/>
      <c r="T34" s="8"/>
      <c r="U34" s="12"/>
      <c r="X34" s="7"/>
      <c r="Y34" s="65"/>
      <c r="Z34" s="48"/>
      <c r="AA34" s="48"/>
      <c r="AB34" s="48"/>
      <c r="AC34" s="48"/>
      <c r="AD34" s="48"/>
      <c r="AE34" s="48"/>
      <c r="AF34" s="8"/>
      <c r="AG34" s="12"/>
      <c r="AI34" s="7"/>
      <c r="AJ34" s="8"/>
      <c r="AK34" s="8"/>
      <c r="AL34" s="48"/>
      <c r="AM34" s="48"/>
      <c r="AN34" s="48"/>
      <c r="AO34" s="48"/>
      <c r="AP34" s="8"/>
      <c r="AQ34" s="8"/>
      <c r="AR34" s="12"/>
      <c r="AT34" s="7"/>
      <c r="AU34" s="8"/>
      <c r="AV34" s="8"/>
      <c r="AW34" s="48"/>
      <c r="AX34" s="48"/>
      <c r="AY34" s="48"/>
      <c r="AZ34" s="48"/>
      <c r="BA34" s="8"/>
      <c r="BB34" s="8"/>
      <c r="BC34" s="12"/>
      <c r="BE34" s="7"/>
      <c r="BF34" s="16"/>
      <c r="BG34" s="48"/>
      <c r="BH34" s="48"/>
      <c r="BI34" s="48"/>
      <c r="BJ34" s="48"/>
      <c r="BK34" s="48"/>
      <c r="BL34" s="48"/>
      <c r="BM34" s="15"/>
      <c r="BN34" s="12"/>
    </row>
    <row r="35" spans="12:66" ht="15" customHeight="1" thickBot="1" x14ac:dyDescent="0.35">
      <c r="L35" s="9"/>
      <c r="M35" s="10"/>
      <c r="N35" s="10"/>
      <c r="O35" s="49"/>
      <c r="P35" s="49"/>
      <c r="Q35" s="49"/>
      <c r="R35" s="49"/>
      <c r="S35" s="10"/>
      <c r="T35" s="10"/>
      <c r="U35" s="13"/>
      <c r="X35" s="9"/>
      <c r="Y35" s="49"/>
      <c r="Z35" s="49"/>
      <c r="AA35" s="49"/>
      <c r="AB35" s="49"/>
      <c r="AC35" s="49"/>
      <c r="AD35" s="49"/>
      <c r="AE35" s="49"/>
      <c r="AF35" s="49"/>
      <c r="AG35" s="13"/>
      <c r="AI35" s="9"/>
      <c r="AJ35" s="10"/>
      <c r="AK35" s="10"/>
      <c r="AL35" s="49"/>
      <c r="AM35" s="49"/>
      <c r="AN35" s="49"/>
      <c r="AO35" s="49"/>
      <c r="AP35" s="10"/>
      <c r="AQ35" s="10"/>
      <c r="AR35" s="13"/>
      <c r="AT35" s="9"/>
      <c r="AU35" s="10"/>
      <c r="AV35" s="10"/>
      <c r="AW35" s="49"/>
      <c r="AX35" s="49"/>
      <c r="AY35" s="49"/>
      <c r="AZ35" s="49"/>
      <c r="BA35" s="10"/>
      <c r="BB35" s="10"/>
      <c r="BC35" s="13"/>
      <c r="BE35" s="9"/>
      <c r="BF35" s="10"/>
      <c r="BG35" s="10"/>
      <c r="BH35" s="49"/>
      <c r="BI35" s="49"/>
      <c r="BJ35" s="49"/>
      <c r="BK35" s="49"/>
      <c r="BL35" s="10"/>
      <c r="BM35" s="10"/>
      <c r="BN35" s="13"/>
    </row>
    <row r="36" spans="12:66" ht="15" customHeight="1" thickBot="1" x14ac:dyDescent="0.35">
      <c r="L36" s="1" t="s">
        <v>11</v>
      </c>
      <c r="X36" s="1" t="s">
        <v>18</v>
      </c>
      <c r="AI36" s="1" t="s">
        <v>19</v>
      </c>
      <c r="AT36" s="1" t="s">
        <v>20</v>
      </c>
      <c r="BE36" s="1" t="s">
        <v>21</v>
      </c>
    </row>
    <row r="37" spans="12:66" ht="15" customHeight="1" x14ac:dyDescent="0.3">
      <c r="L37" s="5"/>
      <c r="M37" s="6"/>
      <c r="N37" s="47"/>
      <c r="O37" s="47"/>
      <c r="P37" s="47"/>
      <c r="Q37" s="47"/>
      <c r="R37" s="47"/>
      <c r="S37" s="6"/>
      <c r="T37" s="6"/>
      <c r="U37" s="11"/>
      <c r="X37" s="5"/>
      <c r="Y37" s="6"/>
      <c r="Z37" s="6"/>
      <c r="AA37" s="47"/>
      <c r="AB37" s="47"/>
      <c r="AC37" s="47"/>
      <c r="AD37" s="47"/>
      <c r="AE37" s="6"/>
      <c r="AF37" s="6"/>
      <c r="AG37" s="11"/>
      <c r="AI37" s="5"/>
      <c r="AJ37" s="6"/>
      <c r="AK37" s="6"/>
      <c r="AL37" s="6"/>
      <c r="AM37" s="6"/>
      <c r="AN37" s="6"/>
      <c r="AO37" s="6"/>
      <c r="AP37" s="6"/>
      <c r="AQ37" s="6"/>
      <c r="AR37" s="11"/>
      <c r="AT37" s="5"/>
      <c r="AU37" s="6"/>
      <c r="AV37" s="6"/>
      <c r="AW37" s="6"/>
      <c r="AX37" s="48"/>
      <c r="AY37" s="48"/>
      <c r="AZ37" s="6"/>
      <c r="BA37" s="6"/>
      <c r="BB37" s="6"/>
      <c r="BC37" s="11"/>
      <c r="BE37" s="5"/>
      <c r="BF37" s="6"/>
      <c r="BG37" s="6"/>
      <c r="BH37" s="6"/>
      <c r="BI37" s="6"/>
      <c r="BJ37" s="6"/>
      <c r="BK37" s="6"/>
      <c r="BL37" s="6"/>
      <c r="BM37" s="6"/>
      <c r="BN37" s="11"/>
    </row>
    <row r="38" spans="12:66" ht="15" customHeight="1" x14ac:dyDescent="0.3">
      <c r="L38" s="7"/>
      <c r="M38" s="48"/>
      <c r="N38" s="48"/>
      <c r="O38" s="48"/>
      <c r="P38" s="48"/>
      <c r="Q38" s="48"/>
      <c r="R38" s="8"/>
      <c r="S38" s="8"/>
      <c r="T38" s="8"/>
      <c r="U38" s="12"/>
      <c r="X38" s="7"/>
      <c r="Y38" s="8"/>
      <c r="Z38" s="48"/>
      <c r="AA38" s="48"/>
      <c r="AB38" s="48"/>
      <c r="AC38" s="8"/>
      <c r="AD38" s="8"/>
      <c r="AE38" s="8"/>
      <c r="AF38" s="8"/>
      <c r="AG38" s="12"/>
      <c r="AI38" s="7"/>
      <c r="AJ38" s="8"/>
      <c r="AK38" s="8"/>
      <c r="AL38" s="8"/>
      <c r="AM38" s="8"/>
      <c r="AN38" s="8"/>
      <c r="AO38" s="8"/>
      <c r="AP38" s="8"/>
      <c r="AQ38" s="8"/>
      <c r="AR38" s="12"/>
      <c r="AT38" s="7"/>
      <c r="AU38" s="8"/>
      <c r="AV38" s="8"/>
      <c r="AW38" s="8"/>
      <c r="AX38" s="48"/>
      <c r="AY38" s="48"/>
      <c r="AZ38" s="8"/>
      <c r="BA38" s="8"/>
      <c r="BB38" s="8"/>
      <c r="BC38" s="12"/>
      <c r="BE38" s="7"/>
      <c r="BF38" s="8"/>
      <c r="BG38" s="8"/>
      <c r="BH38" s="8"/>
      <c r="BI38" s="8"/>
      <c r="BJ38" s="8"/>
      <c r="BK38" s="8"/>
      <c r="BL38" s="8"/>
      <c r="BM38" s="8"/>
      <c r="BN38" s="12"/>
    </row>
    <row r="39" spans="12:66" ht="15" customHeight="1" x14ac:dyDescent="0.3">
      <c r="L39" s="7"/>
      <c r="M39" s="8"/>
      <c r="N39" s="48"/>
      <c r="O39" s="48"/>
      <c r="P39" s="48"/>
      <c r="Q39" s="48"/>
      <c r="R39" s="48"/>
      <c r="S39" s="8"/>
      <c r="T39" s="8"/>
      <c r="U39" s="12"/>
      <c r="X39" s="7"/>
      <c r="Y39" s="8"/>
      <c r="Z39" s="8"/>
      <c r="AA39" s="48"/>
      <c r="AB39" s="48"/>
      <c r="AC39" s="48"/>
      <c r="AD39" s="8"/>
      <c r="AE39" s="8"/>
      <c r="AF39" s="8"/>
      <c r="AG39" s="12"/>
      <c r="AI39" s="7"/>
      <c r="AJ39" s="8"/>
      <c r="AK39" s="8"/>
      <c r="AL39" s="8"/>
      <c r="AM39" s="8"/>
      <c r="AN39" s="8"/>
      <c r="AO39" s="8"/>
      <c r="AP39" s="8"/>
      <c r="AQ39" s="8"/>
      <c r="AR39" s="12"/>
      <c r="AT39" s="7"/>
      <c r="AU39" s="8"/>
      <c r="AV39" s="8"/>
      <c r="AW39" s="8"/>
      <c r="AX39" s="48"/>
      <c r="AY39" s="48"/>
      <c r="AZ39" s="8"/>
      <c r="BA39" s="8"/>
      <c r="BB39" s="8"/>
      <c r="BC39" s="12"/>
      <c r="BE39" s="7"/>
      <c r="BF39" s="8"/>
      <c r="BG39" s="8"/>
      <c r="BH39" s="8"/>
      <c r="BI39" s="8"/>
      <c r="BJ39" s="8"/>
      <c r="BK39" s="8"/>
      <c r="BL39" s="8"/>
      <c r="BM39" s="8"/>
      <c r="BN39" s="12"/>
    </row>
    <row r="40" spans="12:66" ht="15" customHeight="1" x14ac:dyDescent="0.3">
      <c r="L40" s="7"/>
      <c r="M40" s="8"/>
      <c r="N40" s="8"/>
      <c r="O40" s="48"/>
      <c r="P40" s="48"/>
      <c r="Q40" s="48"/>
      <c r="R40" s="48"/>
      <c r="S40" s="48"/>
      <c r="T40" s="8"/>
      <c r="U40" s="12"/>
      <c r="X40" s="7"/>
      <c r="Y40" s="8"/>
      <c r="Z40" s="8"/>
      <c r="AA40" s="8"/>
      <c r="AB40" s="48"/>
      <c r="AC40" s="48"/>
      <c r="AD40" s="48"/>
      <c r="AE40" s="8"/>
      <c r="AF40" s="8"/>
      <c r="AG40" s="12"/>
      <c r="AI40" s="7"/>
      <c r="AJ40" s="8"/>
      <c r="AK40" s="8"/>
      <c r="AL40" s="8"/>
      <c r="AM40" s="8"/>
      <c r="AN40" s="8"/>
      <c r="AO40" s="8"/>
      <c r="AP40" s="8"/>
      <c r="AQ40" s="8"/>
      <c r="AR40" s="12"/>
      <c r="AT40" s="7"/>
      <c r="AU40" s="8"/>
      <c r="AV40" s="8"/>
      <c r="AW40" s="8"/>
      <c r="AX40" s="48"/>
      <c r="AY40" s="48"/>
      <c r="AZ40" s="8"/>
      <c r="BA40" s="8"/>
      <c r="BB40" s="8"/>
      <c r="BC40" s="12"/>
      <c r="BE40" s="7"/>
      <c r="BF40" s="8"/>
      <c r="BG40" s="8"/>
      <c r="BH40" s="8"/>
      <c r="BI40" s="8"/>
      <c r="BJ40" s="8"/>
      <c r="BK40" s="8"/>
      <c r="BL40" s="8"/>
      <c r="BM40" s="8"/>
      <c r="BN40" s="12"/>
    </row>
    <row r="41" spans="12:66" ht="15" customHeight="1" x14ac:dyDescent="0.3">
      <c r="L41" s="7"/>
      <c r="M41" s="8"/>
      <c r="N41" s="8"/>
      <c r="O41" s="8"/>
      <c r="P41" s="48"/>
      <c r="Q41" s="48"/>
      <c r="R41" s="48"/>
      <c r="S41" s="48"/>
      <c r="T41" s="48"/>
      <c r="U41" s="12"/>
      <c r="X41" s="7"/>
      <c r="Y41" s="8"/>
      <c r="Z41" s="8"/>
      <c r="AA41" s="8"/>
      <c r="AB41" s="8"/>
      <c r="AC41" s="48"/>
      <c r="AD41" s="48"/>
      <c r="AE41" s="48"/>
      <c r="AF41" s="8"/>
      <c r="AG41" s="12"/>
      <c r="AI41" s="7"/>
      <c r="AJ41" s="8"/>
      <c r="AK41" s="8"/>
      <c r="AL41" s="8"/>
      <c r="AM41" s="48"/>
      <c r="AN41" s="48"/>
      <c r="AO41" s="48"/>
      <c r="AP41" s="48"/>
      <c r="AQ41" s="48"/>
      <c r="AR41" s="53"/>
      <c r="AT41" s="52"/>
      <c r="AU41" s="48"/>
      <c r="AV41" s="48"/>
      <c r="AW41" s="48"/>
      <c r="AX41" s="48"/>
      <c r="AY41" s="48"/>
      <c r="AZ41" s="8"/>
      <c r="BA41" s="8"/>
      <c r="BB41" s="8"/>
      <c r="BC41" s="12"/>
      <c r="BE41" s="7"/>
      <c r="BF41" s="8"/>
      <c r="BG41" s="8"/>
      <c r="BH41" s="8"/>
      <c r="BI41" s="8"/>
      <c r="BJ41" s="8"/>
      <c r="BK41" s="48"/>
      <c r="BL41" s="48"/>
      <c r="BM41" s="48"/>
      <c r="BN41" s="53"/>
    </row>
    <row r="42" spans="12:66" ht="15" customHeight="1" x14ac:dyDescent="0.3">
      <c r="L42" s="7"/>
      <c r="M42" s="8"/>
      <c r="N42" s="8"/>
      <c r="O42" s="48"/>
      <c r="P42" s="48"/>
      <c r="Q42" s="48"/>
      <c r="R42" s="48"/>
      <c r="S42" s="48"/>
      <c r="T42" s="8"/>
      <c r="U42" s="12"/>
      <c r="X42" s="7"/>
      <c r="Y42" s="8"/>
      <c r="Z42" s="8"/>
      <c r="AA42" s="8"/>
      <c r="AB42" s="48"/>
      <c r="AC42" s="48"/>
      <c r="AD42" s="48"/>
      <c r="AE42" s="8"/>
      <c r="AF42" s="8"/>
      <c r="AG42" s="12"/>
      <c r="AI42" s="7"/>
      <c r="AJ42" s="8"/>
      <c r="AK42" s="8"/>
      <c r="AL42" s="8"/>
      <c r="AM42" s="48"/>
      <c r="AN42" s="48"/>
      <c r="AO42" s="48"/>
      <c r="AP42" s="48"/>
      <c r="AQ42" s="48"/>
      <c r="AR42" s="53"/>
      <c r="AT42" s="52"/>
      <c r="AU42" s="48"/>
      <c r="AV42" s="48"/>
      <c r="AW42" s="48"/>
      <c r="AX42" s="48"/>
      <c r="AY42" s="48"/>
      <c r="AZ42" s="8"/>
      <c r="BA42" s="8"/>
      <c r="BB42" s="8"/>
      <c r="BC42" s="12"/>
      <c r="BE42" s="7"/>
      <c r="BF42" s="8"/>
      <c r="BG42" s="8"/>
      <c r="BH42" s="8"/>
      <c r="BI42" s="8"/>
      <c r="BJ42" s="48"/>
      <c r="BK42" s="48"/>
      <c r="BL42" s="48"/>
      <c r="BM42" s="48"/>
      <c r="BN42" s="53"/>
    </row>
    <row r="43" spans="12:66" ht="15" customHeight="1" x14ac:dyDescent="0.3">
      <c r="L43" s="7"/>
      <c r="M43" s="8"/>
      <c r="N43" s="48"/>
      <c r="O43" s="48"/>
      <c r="P43" s="48"/>
      <c r="Q43" s="48"/>
      <c r="R43" s="48"/>
      <c r="S43" s="48"/>
      <c r="T43" s="8"/>
      <c r="U43" s="12"/>
      <c r="X43" s="7"/>
      <c r="Y43" s="8"/>
      <c r="Z43" s="8"/>
      <c r="AA43" s="48"/>
      <c r="AB43" s="48"/>
      <c r="AC43" s="48"/>
      <c r="AD43" s="8"/>
      <c r="AE43" s="8"/>
      <c r="AF43" s="8"/>
      <c r="AG43" s="12"/>
      <c r="AI43" s="7"/>
      <c r="AJ43" s="8"/>
      <c r="AK43" s="8"/>
      <c r="AL43" s="8"/>
      <c r="AM43" s="48"/>
      <c r="AN43" s="48"/>
      <c r="AO43" s="8"/>
      <c r="AP43" s="8"/>
      <c r="AQ43" s="8"/>
      <c r="AR43" s="12"/>
      <c r="AT43" s="7"/>
      <c r="AU43" s="8"/>
      <c r="AV43" s="8"/>
      <c r="AW43" s="8"/>
      <c r="AX43" s="48"/>
      <c r="AY43" s="48"/>
      <c r="AZ43" s="8"/>
      <c r="BA43" s="8"/>
      <c r="BB43" s="8"/>
      <c r="BC43" s="12"/>
      <c r="BE43" s="7"/>
      <c r="BF43" s="8"/>
      <c r="BG43" s="8"/>
      <c r="BH43" s="8"/>
      <c r="BI43" s="48"/>
      <c r="BJ43" s="48"/>
      <c r="BK43" s="8"/>
      <c r="BL43" s="8"/>
      <c r="BM43" s="8"/>
      <c r="BN43" s="12"/>
    </row>
    <row r="44" spans="12:66" ht="15" customHeight="1" x14ac:dyDescent="0.3">
      <c r="L44" s="7"/>
      <c r="M44" s="48"/>
      <c r="N44" s="48"/>
      <c r="O44" s="48"/>
      <c r="P44" s="48"/>
      <c r="Q44" s="48"/>
      <c r="R44" s="48"/>
      <c r="S44" s="8"/>
      <c r="T44" s="8"/>
      <c r="U44" s="12"/>
      <c r="X44" s="7"/>
      <c r="Y44" s="8"/>
      <c r="Z44" s="48"/>
      <c r="AA44" s="48"/>
      <c r="AB44" s="48"/>
      <c r="AC44" s="8"/>
      <c r="AD44" s="8"/>
      <c r="AE44" s="8"/>
      <c r="AF44" s="8"/>
      <c r="AG44" s="12"/>
      <c r="AI44" s="7"/>
      <c r="AJ44" s="8"/>
      <c r="AK44" s="8"/>
      <c r="AL44" s="8"/>
      <c r="AM44" s="48"/>
      <c r="AN44" s="48"/>
      <c r="AO44" s="8"/>
      <c r="AP44" s="8"/>
      <c r="AQ44" s="8"/>
      <c r="AR44" s="12"/>
      <c r="AT44" s="7"/>
      <c r="AU44" s="8"/>
      <c r="AV44" s="8"/>
      <c r="AW44" s="8"/>
      <c r="AX44" s="48"/>
      <c r="AY44" s="48"/>
      <c r="AZ44" s="8"/>
      <c r="BA44" s="8"/>
      <c r="BB44" s="8"/>
      <c r="BC44" s="12"/>
      <c r="BE44" s="7"/>
      <c r="BF44" s="8"/>
      <c r="BG44" s="8"/>
      <c r="BH44" s="8"/>
      <c r="BI44" s="48"/>
      <c r="BJ44" s="48"/>
      <c r="BK44" s="8"/>
      <c r="BL44" s="8"/>
      <c r="BM44" s="8"/>
      <c r="BN44" s="12"/>
    </row>
    <row r="45" spans="12:66" ht="15" customHeight="1" x14ac:dyDescent="0.3">
      <c r="L45" s="7"/>
      <c r="M45" s="8"/>
      <c r="N45" s="48"/>
      <c r="O45" s="48"/>
      <c r="P45" s="48"/>
      <c r="Q45" s="48"/>
      <c r="R45" s="8"/>
      <c r="S45" s="8"/>
      <c r="T45" s="8"/>
      <c r="U45" s="12"/>
      <c r="X45" s="7"/>
      <c r="Y45" s="8"/>
      <c r="Z45" s="48"/>
      <c r="AA45" s="48"/>
      <c r="AB45" s="8"/>
      <c r="AC45" s="8"/>
      <c r="AD45" s="8"/>
      <c r="AE45" s="8"/>
      <c r="AF45" s="8"/>
      <c r="AG45" s="12"/>
      <c r="AI45" s="7"/>
      <c r="AJ45" s="8"/>
      <c r="AK45" s="8"/>
      <c r="AL45" s="8"/>
      <c r="AM45" s="48"/>
      <c r="AN45" s="48"/>
      <c r="AO45" s="8"/>
      <c r="AP45" s="8"/>
      <c r="AQ45" s="8"/>
      <c r="AR45" s="12"/>
      <c r="AT45" s="7"/>
      <c r="AU45" s="8"/>
      <c r="AV45" s="8"/>
      <c r="AW45" s="8"/>
      <c r="AX45" s="48"/>
      <c r="AY45" s="48"/>
      <c r="AZ45" s="8"/>
      <c r="BA45" s="8"/>
      <c r="BB45" s="8"/>
      <c r="BC45" s="12"/>
      <c r="BE45" s="7"/>
      <c r="BF45" s="8"/>
      <c r="BG45" s="8"/>
      <c r="BH45" s="8"/>
      <c r="BI45" s="48"/>
      <c r="BJ45" s="48"/>
      <c r="BK45" s="8"/>
      <c r="BL45" s="8"/>
      <c r="BM45" s="8"/>
      <c r="BN45" s="12"/>
    </row>
    <row r="46" spans="12:66" ht="15" customHeight="1" thickBot="1" x14ac:dyDescent="0.35">
      <c r="L46" s="9"/>
      <c r="M46" s="10"/>
      <c r="N46" s="10"/>
      <c r="O46" s="49"/>
      <c r="P46" s="49"/>
      <c r="Q46" s="49"/>
      <c r="R46" s="49"/>
      <c r="S46" s="10"/>
      <c r="T46" s="10"/>
      <c r="U46" s="13"/>
      <c r="X46" s="9"/>
      <c r="Y46" s="10"/>
      <c r="Z46" s="49"/>
      <c r="AA46" s="49"/>
      <c r="AB46" s="49"/>
      <c r="AC46" s="49"/>
      <c r="AD46" s="10"/>
      <c r="AE46" s="10"/>
      <c r="AF46" s="10"/>
      <c r="AG46" s="13"/>
      <c r="AI46" s="9"/>
      <c r="AJ46" s="10"/>
      <c r="AK46" s="10"/>
      <c r="AL46" s="8"/>
      <c r="AM46" s="49"/>
      <c r="AN46" s="49"/>
      <c r="AO46" s="10"/>
      <c r="AP46" s="10"/>
      <c r="AQ46" s="10"/>
      <c r="AR46" s="13"/>
      <c r="AT46" s="9"/>
      <c r="AU46" s="10"/>
      <c r="AV46" s="10"/>
      <c r="AW46" s="8"/>
      <c r="AX46" s="49"/>
      <c r="AY46" s="49"/>
      <c r="AZ46" s="10"/>
      <c r="BA46" s="10"/>
      <c r="BB46" s="10"/>
      <c r="BC46" s="13"/>
      <c r="BE46" s="9"/>
      <c r="BF46" s="10"/>
      <c r="BG46" s="10"/>
      <c r="BH46" s="66"/>
      <c r="BI46" s="49"/>
      <c r="BJ46" s="49"/>
      <c r="BK46" s="10"/>
      <c r="BL46" s="10"/>
      <c r="BM46" s="10"/>
      <c r="BN46" s="13"/>
    </row>
    <row r="47" spans="12:66" ht="15" customHeight="1" thickBot="1" x14ac:dyDescent="0.35">
      <c r="L47" s="1" t="s">
        <v>12</v>
      </c>
      <c r="X47" s="1" t="s">
        <v>22</v>
      </c>
      <c r="AI47" s="1" t="s">
        <v>23</v>
      </c>
      <c r="AT47" s="1" t="s">
        <v>24</v>
      </c>
      <c r="BE47" s="1" t="s">
        <v>25</v>
      </c>
    </row>
    <row r="48" spans="12:66" ht="15" customHeight="1" thickBot="1" x14ac:dyDescent="0.35">
      <c r="L48" s="5"/>
      <c r="M48" s="6"/>
      <c r="N48" s="6"/>
      <c r="O48" s="6"/>
      <c r="P48" s="47"/>
      <c r="Q48" s="47"/>
      <c r="R48" s="6"/>
      <c r="S48" s="6"/>
      <c r="T48" s="6"/>
      <c r="U48" s="11"/>
      <c r="X48" s="5"/>
      <c r="Y48" s="6"/>
      <c r="Z48" s="6"/>
      <c r="AA48" s="6"/>
      <c r="AB48" s="47"/>
      <c r="AC48" s="47"/>
      <c r="AD48" s="6"/>
      <c r="AE48" s="6"/>
      <c r="AF48" s="6"/>
      <c r="AG48" s="11"/>
      <c r="AI48" s="5"/>
      <c r="AJ48" s="6"/>
      <c r="AK48" s="6"/>
      <c r="AL48" s="47"/>
      <c r="AM48" s="47"/>
      <c r="AN48" s="47"/>
      <c r="AO48" s="47"/>
      <c r="AP48" s="6"/>
      <c r="AQ48" s="6"/>
      <c r="AR48" s="11"/>
      <c r="AT48" s="5"/>
      <c r="AU48" s="6"/>
      <c r="AV48" s="6"/>
      <c r="AW48" s="47"/>
      <c r="AX48" s="47"/>
      <c r="AY48" s="47"/>
      <c r="AZ48" s="47"/>
      <c r="BA48" s="6"/>
      <c r="BB48" s="6"/>
      <c r="BC48" s="11"/>
      <c r="BE48" s="5"/>
      <c r="BF48" s="6"/>
      <c r="BG48" s="47"/>
      <c r="BH48" s="47"/>
      <c r="BI48" s="47"/>
      <c r="BJ48" s="47"/>
      <c r="BK48" s="47"/>
      <c r="BL48" s="47"/>
      <c r="BM48" s="6"/>
      <c r="BN48" s="11"/>
    </row>
    <row r="49" spans="12:66" ht="15" customHeight="1" thickBot="1" x14ac:dyDescent="0.35">
      <c r="L49" s="7"/>
      <c r="M49" s="8"/>
      <c r="N49" s="8"/>
      <c r="O49" s="8"/>
      <c r="P49" s="15"/>
      <c r="Q49" s="15"/>
      <c r="R49" s="8"/>
      <c r="S49" s="8"/>
      <c r="T49" s="8"/>
      <c r="U49" s="12"/>
      <c r="X49" s="7"/>
      <c r="Y49" s="8"/>
      <c r="Z49" s="8"/>
      <c r="AA49" s="8"/>
      <c r="AB49" s="16"/>
      <c r="AC49" s="16"/>
      <c r="AD49" s="8"/>
      <c r="AE49" s="8"/>
      <c r="AF49" s="8"/>
      <c r="AG49" s="12"/>
      <c r="AI49" s="7"/>
      <c r="AJ49" s="8"/>
      <c r="AK49" s="5"/>
      <c r="AL49" s="68"/>
      <c r="AM49" s="69"/>
      <c r="AN49" s="67"/>
      <c r="AO49" s="68"/>
      <c r="AP49" s="11"/>
      <c r="AQ49" s="8"/>
      <c r="AR49" s="12"/>
      <c r="AT49" s="7"/>
      <c r="AU49" s="8"/>
      <c r="AV49" s="5"/>
      <c r="AW49" s="68"/>
      <c r="AX49" s="69"/>
      <c r="AY49" s="67"/>
      <c r="AZ49" s="68"/>
      <c r="BA49" s="11"/>
      <c r="BB49" s="8"/>
      <c r="BC49" s="12"/>
      <c r="BE49" s="7"/>
      <c r="BF49" s="8"/>
      <c r="BG49" s="48"/>
      <c r="BH49" s="48"/>
      <c r="BI49" s="48"/>
      <c r="BJ49" s="48"/>
      <c r="BK49" s="48"/>
      <c r="BL49" s="48"/>
      <c r="BM49" s="8"/>
      <c r="BN49" s="12"/>
    </row>
    <row r="50" spans="12:66" ht="15" customHeight="1" thickBot="1" x14ac:dyDescent="0.35">
      <c r="L50" s="7"/>
      <c r="M50" s="8"/>
      <c r="N50" s="8"/>
      <c r="O50" s="8"/>
      <c r="P50" s="48"/>
      <c r="Q50" s="48"/>
      <c r="R50" s="8"/>
      <c r="S50" s="8"/>
      <c r="T50" s="8"/>
      <c r="U50" s="12"/>
      <c r="X50" s="7"/>
      <c r="Y50" s="8"/>
      <c r="Z50" s="8"/>
      <c r="AA50" s="8"/>
      <c r="AB50" s="48"/>
      <c r="AC50" s="48"/>
      <c r="AD50" s="8"/>
      <c r="AE50" s="8"/>
      <c r="AF50" s="8"/>
      <c r="AG50" s="12"/>
      <c r="AI50" s="7"/>
      <c r="AJ50" s="8"/>
      <c r="AK50" s="9"/>
      <c r="AL50" s="71"/>
      <c r="AM50" s="72"/>
      <c r="AN50" s="70"/>
      <c r="AO50" s="71"/>
      <c r="AP50" s="13"/>
      <c r="AQ50" s="8"/>
      <c r="AR50" s="12"/>
      <c r="AT50" s="7"/>
      <c r="AU50" s="8"/>
      <c r="AV50" s="9"/>
      <c r="AW50" s="71"/>
      <c r="AX50" s="72"/>
      <c r="AY50" s="70"/>
      <c r="AZ50" s="71"/>
      <c r="BA50" s="13"/>
      <c r="BB50" s="8"/>
      <c r="BC50" s="12"/>
      <c r="BE50" s="7"/>
      <c r="BF50" s="8"/>
      <c r="BG50" s="96"/>
      <c r="BH50" s="48"/>
      <c r="BI50" s="48"/>
      <c r="BJ50" s="48"/>
      <c r="BK50" s="48"/>
      <c r="BL50" s="48"/>
      <c r="BM50" s="8"/>
      <c r="BN50" s="12"/>
    </row>
    <row r="51" spans="12:66" ht="15" customHeight="1" x14ac:dyDescent="0.3">
      <c r="L51" s="7"/>
      <c r="M51" s="8"/>
      <c r="N51" s="8"/>
      <c r="O51" s="8"/>
      <c r="P51" s="48"/>
      <c r="Q51" s="48"/>
      <c r="R51" s="8"/>
      <c r="S51" s="8"/>
      <c r="T51" s="8"/>
      <c r="U51" s="12"/>
      <c r="X51" s="7"/>
      <c r="Y51" s="8"/>
      <c r="Z51" s="8"/>
      <c r="AA51" s="8"/>
      <c r="AB51" s="48"/>
      <c r="AC51" s="48"/>
      <c r="AD51" s="8"/>
      <c r="AE51" s="8"/>
      <c r="AF51" s="8"/>
      <c r="AG51" s="12"/>
      <c r="AI51" s="7"/>
      <c r="AJ51" s="8"/>
      <c r="AK51" s="8"/>
      <c r="AL51" s="48"/>
      <c r="AM51" s="48"/>
      <c r="AN51" s="48"/>
      <c r="AO51" s="48"/>
      <c r="AP51" s="8"/>
      <c r="AQ51" s="8"/>
      <c r="AR51" s="12"/>
      <c r="AT51" s="7"/>
      <c r="AU51" s="8"/>
      <c r="AV51" s="8"/>
      <c r="AW51" s="48"/>
      <c r="AX51" s="48"/>
      <c r="AY51" s="48"/>
      <c r="AZ51" s="48"/>
      <c r="BA51" s="8"/>
      <c r="BB51" s="8"/>
      <c r="BC51" s="12"/>
      <c r="BE51" s="7"/>
      <c r="BF51" s="8"/>
      <c r="BG51" s="48"/>
      <c r="BH51" s="48"/>
      <c r="BI51" s="48"/>
      <c r="BJ51" s="48"/>
      <c r="BK51" s="48"/>
      <c r="BL51" s="48"/>
      <c r="BM51" s="8"/>
      <c r="BN51" s="12"/>
    </row>
    <row r="52" spans="12:66" ht="15" customHeight="1" x14ac:dyDescent="0.3">
      <c r="L52" s="7"/>
      <c r="M52" s="8"/>
      <c r="N52" s="8"/>
      <c r="O52" s="8"/>
      <c r="P52" s="16"/>
      <c r="Q52" s="16"/>
      <c r="R52" s="8"/>
      <c r="S52" s="8"/>
      <c r="T52" s="8"/>
      <c r="U52" s="12"/>
      <c r="X52" s="7"/>
      <c r="Y52" s="8"/>
      <c r="Z52" s="8"/>
      <c r="AA52" s="8"/>
      <c r="AB52" s="15"/>
      <c r="AC52" s="15"/>
      <c r="AD52" s="8"/>
      <c r="AE52" s="8"/>
      <c r="AF52" s="8"/>
      <c r="AG52" s="12"/>
      <c r="AI52" s="7"/>
      <c r="AJ52" s="8"/>
      <c r="AK52" s="8"/>
      <c r="AL52" s="48"/>
      <c r="AM52" s="48"/>
      <c r="AN52" s="48"/>
      <c r="AO52" s="48"/>
      <c r="AP52" s="8"/>
      <c r="AQ52" s="8"/>
      <c r="AR52" s="12"/>
      <c r="AT52" s="7"/>
      <c r="AU52" s="8"/>
      <c r="AV52" s="8"/>
      <c r="AW52" s="48"/>
      <c r="AX52" s="48"/>
      <c r="AY52" s="48"/>
      <c r="AZ52" s="48"/>
      <c r="BA52" s="8"/>
      <c r="BB52" s="8"/>
      <c r="BC52" s="12"/>
      <c r="BE52" s="7"/>
      <c r="BF52" s="8"/>
      <c r="BG52" s="48"/>
      <c r="BH52" s="48"/>
      <c r="BI52" s="48"/>
      <c r="BJ52" s="48"/>
      <c r="BK52" s="48"/>
      <c r="BL52" s="48"/>
      <c r="BM52" s="8"/>
      <c r="BN52" s="12"/>
    </row>
    <row r="53" spans="12:66" ht="15" customHeight="1" thickBot="1" x14ac:dyDescent="0.35">
      <c r="L53" s="7"/>
      <c r="M53" s="8"/>
      <c r="N53" s="8"/>
      <c r="O53" s="8"/>
      <c r="P53" s="48"/>
      <c r="Q53" s="48"/>
      <c r="R53" s="8"/>
      <c r="S53" s="8"/>
      <c r="T53" s="8"/>
      <c r="U53" s="12"/>
      <c r="X53" s="7"/>
      <c r="Y53" s="8"/>
      <c r="Z53" s="8"/>
      <c r="AA53" s="8"/>
      <c r="AB53" s="48"/>
      <c r="AC53" s="48"/>
      <c r="AD53" s="8"/>
      <c r="AE53" s="8"/>
      <c r="AF53" s="8"/>
      <c r="AG53" s="12"/>
      <c r="AI53" s="7"/>
      <c r="AJ53" s="8"/>
      <c r="AK53" s="8"/>
      <c r="AL53" s="48"/>
      <c r="AM53" s="48"/>
      <c r="AN53" s="48"/>
      <c r="AO53" s="48"/>
      <c r="AP53" s="8"/>
      <c r="AQ53" s="8"/>
      <c r="AR53" s="12"/>
      <c r="AT53" s="7"/>
      <c r="AU53" s="8"/>
      <c r="AV53" s="8"/>
      <c r="AW53" s="48"/>
      <c r="AX53" s="48"/>
      <c r="AY53" s="48"/>
      <c r="AZ53" s="48"/>
      <c r="BA53" s="8"/>
      <c r="BB53" s="8"/>
      <c r="BC53" s="12"/>
      <c r="BE53" s="7"/>
      <c r="BF53" s="8"/>
      <c r="BG53" s="48"/>
      <c r="BH53" s="48"/>
      <c r="BI53" s="48"/>
      <c r="BJ53" s="48"/>
      <c r="BK53" s="48"/>
      <c r="BL53" s="48"/>
      <c r="BM53" s="8"/>
      <c r="BN53" s="12"/>
    </row>
    <row r="54" spans="12:66" ht="15" customHeight="1" thickBot="1" x14ac:dyDescent="0.35">
      <c r="L54" s="7"/>
      <c r="M54" s="8"/>
      <c r="N54" s="8"/>
      <c r="O54" s="8"/>
      <c r="P54" s="48"/>
      <c r="Q54" s="48"/>
      <c r="R54" s="8"/>
      <c r="S54" s="8"/>
      <c r="T54" s="8"/>
      <c r="U54" s="12"/>
      <c r="X54" s="7"/>
      <c r="Y54" s="8"/>
      <c r="Z54" s="8"/>
      <c r="AA54" s="8"/>
      <c r="AB54" s="48"/>
      <c r="AC54" s="48"/>
      <c r="AD54" s="8"/>
      <c r="AE54" s="8"/>
      <c r="AF54" s="8"/>
      <c r="AG54" s="12"/>
      <c r="AI54" s="7"/>
      <c r="AJ54" s="8"/>
      <c r="AK54" s="8"/>
      <c r="AL54" s="48"/>
      <c r="AM54" s="48"/>
      <c r="AN54" s="48"/>
      <c r="AO54" s="48"/>
      <c r="AP54" s="8"/>
      <c r="AQ54" s="8"/>
      <c r="AR54" s="12"/>
      <c r="AT54" s="7"/>
      <c r="AU54" s="8"/>
      <c r="AV54" s="8"/>
      <c r="AW54" s="96"/>
      <c r="AX54" s="48"/>
      <c r="AY54" s="48"/>
      <c r="AZ54" s="48"/>
      <c r="BA54" s="8"/>
      <c r="BB54" s="8"/>
      <c r="BC54" s="12"/>
      <c r="BE54" s="7"/>
      <c r="BF54" s="8"/>
      <c r="BG54" s="48"/>
      <c r="BH54" s="48"/>
      <c r="BI54" s="48"/>
      <c r="BJ54" s="48"/>
      <c r="BK54" s="96"/>
      <c r="BL54" s="48"/>
      <c r="BM54" s="8"/>
      <c r="BN54" s="12"/>
    </row>
    <row r="55" spans="12:66" ht="15" customHeight="1" x14ac:dyDescent="0.3">
      <c r="L55" s="7"/>
      <c r="M55" s="8"/>
      <c r="N55" s="8"/>
      <c r="O55" s="8"/>
      <c r="P55" s="15"/>
      <c r="Q55" s="15"/>
      <c r="R55" s="8"/>
      <c r="S55" s="8"/>
      <c r="T55" s="8"/>
      <c r="U55" s="12"/>
      <c r="X55" s="7"/>
      <c r="Y55" s="8"/>
      <c r="Z55" s="8"/>
      <c r="AA55" s="8"/>
      <c r="AB55" s="16"/>
      <c r="AC55" s="16"/>
      <c r="AD55" s="8"/>
      <c r="AE55" s="8"/>
      <c r="AF55" s="8"/>
      <c r="AG55" s="12"/>
      <c r="AI55" s="7"/>
      <c r="AJ55" s="8"/>
      <c r="AK55" s="8"/>
      <c r="AL55" s="48"/>
      <c r="AM55" s="48"/>
      <c r="AN55" s="48"/>
      <c r="AO55" s="48"/>
      <c r="AP55" s="8"/>
      <c r="AQ55" s="8"/>
      <c r="AR55" s="12"/>
      <c r="AT55" s="7"/>
      <c r="AU55" s="8"/>
      <c r="AV55" s="8"/>
      <c r="AW55" s="48"/>
      <c r="AX55" s="48"/>
      <c r="AY55" s="48"/>
      <c r="AZ55" s="48"/>
      <c r="BA55" s="8"/>
      <c r="BB55" s="8"/>
      <c r="BC55" s="12"/>
      <c r="BE55" s="7"/>
      <c r="BF55" s="8"/>
      <c r="BG55" s="48"/>
      <c r="BH55" s="48"/>
      <c r="BI55" s="48"/>
      <c r="BJ55" s="48"/>
      <c r="BK55" s="48"/>
      <c r="BL55" s="48"/>
      <c r="BM55" s="8"/>
      <c r="BN55" s="12"/>
    </row>
    <row r="56" spans="12:66" ht="15" customHeight="1" x14ac:dyDescent="0.3">
      <c r="L56" s="7"/>
      <c r="M56" s="8"/>
      <c r="N56" s="8"/>
      <c r="O56" s="8"/>
      <c r="P56" s="48"/>
      <c r="Q56" s="48"/>
      <c r="R56" s="8"/>
      <c r="S56" s="8"/>
      <c r="T56" s="8"/>
      <c r="U56" s="12"/>
      <c r="X56" s="7"/>
      <c r="Y56" s="8"/>
      <c r="Z56" s="8"/>
      <c r="AA56" s="8"/>
      <c r="AB56" s="48"/>
      <c r="AC56" s="48"/>
      <c r="AD56" s="8"/>
      <c r="AE56" s="8"/>
      <c r="AF56" s="8"/>
      <c r="AG56" s="12"/>
      <c r="AI56" s="7"/>
      <c r="AJ56" s="8"/>
      <c r="AK56" s="8"/>
      <c r="AL56" s="48"/>
      <c r="AM56" s="48"/>
      <c r="AN56" s="48"/>
      <c r="AO56" s="48"/>
      <c r="AP56" s="8"/>
      <c r="AQ56" s="8"/>
      <c r="AR56" s="12"/>
      <c r="AT56" s="7"/>
      <c r="AU56" s="8"/>
      <c r="AV56" s="8"/>
      <c r="AW56" s="48"/>
      <c r="AX56" s="48"/>
      <c r="AY56" s="48"/>
      <c r="AZ56" s="48"/>
      <c r="BA56" s="8"/>
      <c r="BB56" s="8"/>
      <c r="BC56" s="12"/>
      <c r="BE56" s="7"/>
      <c r="BF56" s="8"/>
      <c r="BG56" s="48"/>
      <c r="BH56" s="48"/>
      <c r="BI56" s="48"/>
      <c r="BJ56" s="48"/>
      <c r="BK56" s="48"/>
      <c r="BL56" s="48"/>
      <c r="BM56" s="8"/>
      <c r="BN56" s="12"/>
    </row>
    <row r="57" spans="12:66" ht="15" customHeight="1" thickBot="1" x14ac:dyDescent="0.35">
      <c r="L57" s="9"/>
      <c r="M57" s="10"/>
      <c r="N57" s="10"/>
      <c r="O57" s="10"/>
      <c r="P57" s="49"/>
      <c r="Q57" s="49"/>
      <c r="R57" s="10"/>
      <c r="S57" s="10"/>
      <c r="T57" s="10"/>
      <c r="U57" s="13"/>
      <c r="X57" s="9"/>
      <c r="Y57" s="10"/>
      <c r="Z57" s="10"/>
      <c r="AA57" s="10"/>
      <c r="AB57" s="49"/>
      <c r="AC57" s="49"/>
      <c r="AD57" s="10"/>
      <c r="AE57" s="10"/>
      <c r="AF57" s="10"/>
      <c r="AG57" s="13"/>
      <c r="AI57" s="9"/>
      <c r="AJ57" s="10"/>
      <c r="AK57" s="10"/>
      <c r="AL57" s="49"/>
      <c r="AM57" s="49"/>
      <c r="AN57" s="49"/>
      <c r="AO57" s="49"/>
      <c r="AP57" s="10"/>
      <c r="AQ57" s="10"/>
      <c r="AR57" s="13"/>
      <c r="AT57" s="9"/>
      <c r="AU57" s="10"/>
      <c r="AV57" s="10"/>
      <c r="AW57" s="49"/>
      <c r="AX57" s="49"/>
      <c r="AY57" s="49"/>
      <c r="AZ57" s="49"/>
      <c r="BA57" s="10"/>
      <c r="BB57" s="10"/>
      <c r="BC57" s="13"/>
      <c r="BE57" s="9"/>
      <c r="BF57" s="10"/>
      <c r="BG57" s="49"/>
      <c r="BH57" s="49"/>
      <c r="BI57" s="49"/>
      <c r="BJ57" s="49"/>
      <c r="BK57" s="49"/>
      <c r="BL57" s="49"/>
      <c r="BM57" s="10"/>
      <c r="BN57" s="13"/>
    </row>
    <row r="58" spans="12:66" ht="15" customHeight="1" thickBot="1" x14ac:dyDescent="0.35">
      <c r="L58" s="1" t="s">
        <v>13</v>
      </c>
      <c r="X58" s="1" t="s">
        <v>26</v>
      </c>
      <c r="AI58" s="1" t="s">
        <v>27</v>
      </c>
      <c r="AT58" s="1" t="s">
        <v>28</v>
      </c>
      <c r="BE58" s="1" t="s">
        <v>29</v>
      </c>
    </row>
    <row r="59" spans="12:66" ht="15" customHeight="1" thickBot="1" x14ac:dyDescent="0.35">
      <c r="L59" s="5"/>
      <c r="M59" s="6"/>
      <c r="N59" s="6"/>
      <c r="O59" s="47"/>
      <c r="P59" s="47"/>
      <c r="Q59" s="47"/>
      <c r="R59" s="47"/>
      <c r="S59" s="6"/>
      <c r="T59" s="6"/>
      <c r="U59" s="11"/>
      <c r="X59" s="5"/>
      <c r="Y59" s="6"/>
      <c r="Z59" s="6"/>
      <c r="AA59" s="47"/>
      <c r="AB59" s="47"/>
      <c r="AC59" s="47"/>
      <c r="AD59" s="47"/>
      <c r="AE59" s="6"/>
      <c r="AF59" s="6"/>
      <c r="AG59" s="11"/>
      <c r="AI59" s="5"/>
      <c r="AJ59" s="6"/>
      <c r="AK59" s="6"/>
      <c r="AL59" s="6"/>
      <c r="AM59" s="47"/>
      <c r="AN59" s="47"/>
      <c r="AO59" s="47"/>
      <c r="AP59" s="6"/>
      <c r="AQ59" s="6"/>
      <c r="AR59" s="11"/>
      <c r="AT59" s="5"/>
      <c r="AU59" s="6"/>
      <c r="AV59" s="47"/>
      <c r="AW59" s="47"/>
      <c r="AX59" s="47"/>
      <c r="AY59" s="47"/>
      <c r="AZ59" s="6"/>
      <c r="BA59" s="47"/>
      <c r="BB59" s="6"/>
      <c r="BC59" s="11"/>
      <c r="BE59" s="5"/>
      <c r="BF59" s="6"/>
      <c r="BG59" s="47"/>
      <c r="BH59" s="47"/>
      <c r="BI59" s="47"/>
      <c r="BJ59" s="47"/>
      <c r="BK59" s="47"/>
      <c r="BL59" s="47"/>
      <c r="BM59" s="6"/>
      <c r="BN59" s="11"/>
    </row>
    <row r="60" spans="12:66" ht="15" customHeight="1" thickBot="1" x14ac:dyDescent="0.35">
      <c r="L60" s="7"/>
      <c r="M60" s="8"/>
      <c r="N60" s="8"/>
      <c r="O60" s="48"/>
      <c r="P60" s="48"/>
      <c r="Q60" s="48"/>
      <c r="R60" s="48"/>
      <c r="S60" s="8"/>
      <c r="T60" s="8"/>
      <c r="U60" s="12"/>
      <c r="X60" s="7"/>
      <c r="Y60" s="8"/>
      <c r="Z60" s="8"/>
      <c r="AA60" s="88"/>
      <c r="AB60" s="48"/>
      <c r="AC60" s="48"/>
      <c r="AD60" s="48"/>
      <c r="AE60" s="8"/>
      <c r="AF60" s="8"/>
      <c r="AG60" s="12"/>
      <c r="AI60" s="7"/>
      <c r="AJ60" s="8"/>
      <c r="AK60" s="8"/>
      <c r="AL60" s="48"/>
      <c r="AM60" s="48"/>
      <c r="AN60" s="48"/>
      <c r="AO60" s="8"/>
      <c r="AP60" s="8"/>
      <c r="AQ60" s="8"/>
      <c r="AR60" s="12"/>
      <c r="AT60" s="7"/>
      <c r="AU60" s="8"/>
      <c r="AV60" s="8"/>
      <c r="AW60" s="48"/>
      <c r="AX60" s="48"/>
      <c r="AY60" s="48"/>
      <c r="AZ60" s="48"/>
      <c r="BA60" s="48"/>
      <c r="BB60" s="8"/>
      <c r="BC60" s="12"/>
      <c r="BE60" s="7"/>
      <c r="BF60" s="8"/>
      <c r="BG60" s="48"/>
      <c r="BH60" s="48"/>
      <c r="BI60" s="48"/>
      <c r="BJ60" s="48"/>
      <c r="BK60" s="48"/>
      <c r="BL60" s="48"/>
      <c r="BM60" s="8"/>
      <c r="BN60" s="12"/>
    </row>
    <row r="61" spans="12:66" ht="15" customHeight="1" thickBot="1" x14ac:dyDescent="0.35">
      <c r="L61" s="7"/>
      <c r="M61" s="8"/>
      <c r="N61" s="8"/>
      <c r="O61" s="48"/>
      <c r="P61" s="48"/>
      <c r="Q61" s="48"/>
      <c r="R61" s="48"/>
      <c r="S61" s="8"/>
      <c r="T61" s="8"/>
      <c r="U61" s="12"/>
      <c r="X61" s="7"/>
      <c r="Y61" s="8"/>
      <c r="Z61" s="8"/>
      <c r="AA61" s="48"/>
      <c r="AB61" s="48"/>
      <c r="AC61" s="48"/>
      <c r="AD61" s="48"/>
      <c r="AE61" s="8"/>
      <c r="AF61" s="8"/>
      <c r="AG61" s="12"/>
      <c r="AI61" s="7"/>
      <c r="AJ61" s="8"/>
      <c r="AK61" s="8"/>
      <c r="AL61" s="48"/>
      <c r="AM61" s="48"/>
      <c r="AN61" s="48"/>
      <c r="AO61" s="48"/>
      <c r="AP61" s="8"/>
      <c r="AQ61" s="8"/>
      <c r="AR61" s="12"/>
      <c r="AT61" s="7"/>
      <c r="AU61" s="8"/>
      <c r="AV61" s="48"/>
      <c r="AW61" s="48"/>
      <c r="AX61" s="48"/>
      <c r="AY61" s="48"/>
      <c r="AZ61" s="48"/>
      <c r="BA61" s="48"/>
      <c r="BB61" s="8"/>
      <c r="BC61" s="12"/>
      <c r="BE61" s="7"/>
      <c r="BF61" s="8"/>
      <c r="BG61" s="48"/>
      <c r="BH61" s="48"/>
      <c r="BI61" s="89"/>
      <c r="BJ61" s="90"/>
      <c r="BK61" s="90"/>
      <c r="BL61" s="91"/>
      <c r="BM61" s="8"/>
      <c r="BN61" s="12"/>
    </row>
    <row r="62" spans="12:66" ht="15" customHeight="1" thickBot="1" x14ac:dyDescent="0.35">
      <c r="L62" s="7"/>
      <c r="M62" s="8"/>
      <c r="N62" s="8"/>
      <c r="O62" s="79"/>
      <c r="P62" s="79"/>
      <c r="Q62" s="79"/>
      <c r="R62" s="79"/>
      <c r="S62" s="8"/>
      <c r="T62" s="8"/>
      <c r="U62" s="12"/>
      <c r="X62" s="7"/>
      <c r="Y62" s="8"/>
      <c r="Z62" s="8"/>
      <c r="AA62" s="48"/>
      <c r="AB62" s="48"/>
      <c r="AC62" s="48"/>
      <c r="AD62" s="48"/>
      <c r="AE62" s="8"/>
      <c r="AF62" s="8"/>
      <c r="AG62" s="12"/>
      <c r="AI62" s="7"/>
      <c r="AJ62" s="8"/>
      <c r="AK62" s="8"/>
      <c r="AL62" s="48"/>
      <c r="AM62" s="8"/>
      <c r="AN62" s="48"/>
      <c r="AO62" s="48"/>
      <c r="AP62" s="8"/>
      <c r="AQ62" s="8"/>
      <c r="AR62" s="12"/>
      <c r="AT62" s="7"/>
      <c r="AU62" s="8"/>
      <c r="AV62" s="48"/>
      <c r="AW62" s="48"/>
      <c r="AX62" s="48"/>
      <c r="AY62" s="48"/>
      <c r="AZ62" s="48"/>
      <c r="BA62" s="8"/>
      <c r="BB62" s="8"/>
      <c r="BC62" s="12"/>
      <c r="BE62" s="7"/>
      <c r="BF62" s="8"/>
      <c r="BG62" s="48"/>
      <c r="BH62" s="48"/>
      <c r="BI62" s="48"/>
      <c r="BJ62" s="48"/>
      <c r="BK62" s="48"/>
      <c r="BL62" s="48"/>
      <c r="BM62" s="8"/>
      <c r="BN62" s="12"/>
    </row>
    <row r="63" spans="12:66" ht="15" customHeight="1" thickBot="1" x14ac:dyDescent="0.35">
      <c r="L63" s="7"/>
      <c r="M63" s="8"/>
      <c r="N63" s="8"/>
      <c r="O63" s="79"/>
      <c r="P63" s="79"/>
      <c r="Q63" s="79"/>
      <c r="R63" s="79"/>
      <c r="S63" s="8"/>
      <c r="T63" s="8"/>
      <c r="U63" s="12"/>
      <c r="X63" s="7"/>
      <c r="Y63" s="8"/>
      <c r="Z63" s="8"/>
      <c r="AA63" s="48"/>
      <c r="AB63" s="48"/>
      <c r="AC63" s="88"/>
      <c r="AD63" s="48"/>
      <c r="AE63" s="8"/>
      <c r="AF63" s="8"/>
      <c r="AG63" s="12"/>
      <c r="AI63" s="7"/>
      <c r="AJ63" s="8"/>
      <c r="AK63" s="8"/>
      <c r="AL63" s="48"/>
      <c r="AM63" s="48"/>
      <c r="AN63" s="48"/>
      <c r="AO63" s="48"/>
      <c r="AP63" s="8"/>
      <c r="AQ63" s="8"/>
      <c r="AR63" s="12"/>
      <c r="AT63" s="7"/>
      <c r="AU63" s="8"/>
      <c r="AV63" s="48"/>
      <c r="AW63" s="48"/>
      <c r="AX63" s="8"/>
      <c r="AY63" s="48"/>
      <c r="AZ63" s="48"/>
      <c r="BA63" s="48"/>
      <c r="BB63" s="8"/>
      <c r="BC63" s="12"/>
      <c r="BE63" s="7"/>
      <c r="BF63" s="8"/>
      <c r="BG63" s="48"/>
      <c r="BH63" s="48"/>
      <c r="BI63" s="48"/>
      <c r="BJ63" s="48"/>
      <c r="BK63" s="48"/>
      <c r="BL63" s="48"/>
      <c r="BM63" s="8"/>
      <c r="BN63" s="12"/>
    </row>
    <row r="64" spans="12:66" ht="15" customHeight="1" thickBot="1" x14ac:dyDescent="0.35">
      <c r="L64" s="7"/>
      <c r="M64" s="8"/>
      <c r="N64" s="8"/>
      <c r="O64" s="48"/>
      <c r="P64" s="48"/>
      <c r="Q64" s="48"/>
      <c r="R64" s="48"/>
      <c r="S64" s="8"/>
      <c r="T64" s="8"/>
      <c r="U64" s="12"/>
      <c r="X64" s="7"/>
      <c r="Y64" s="8"/>
      <c r="Z64" s="8"/>
      <c r="AA64" s="48"/>
      <c r="AB64" s="48"/>
      <c r="AC64" s="48"/>
      <c r="AD64" s="48"/>
      <c r="AE64" s="8"/>
      <c r="AF64" s="8"/>
      <c r="AG64" s="12"/>
      <c r="AI64" s="7"/>
      <c r="AJ64" s="8"/>
      <c r="AK64" s="8"/>
      <c r="AL64" s="8"/>
      <c r="AM64" s="48"/>
      <c r="AN64" s="48"/>
      <c r="AO64" s="48"/>
      <c r="AP64" s="8"/>
      <c r="AQ64" s="8"/>
      <c r="AR64" s="12"/>
      <c r="AT64" s="7"/>
      <c r="AU64" s="8"/>
      <c r="AV64" s="48"/>
      <c r="AW64" s="8"/>
      <c r="AX64" s="48"/>
      <c r="AY64" s="48"/>
      <c r="AZ64" s="48"/>
      <c r="BA64" s="48"/>
      <c r="BB64" s="8"/>
      <c r="BC64" s="12"/>
      <c r="BE64" s="7"/>
      <c r="BF64" s="8"/>
      <c r="BG64" s="48"/>
      <c r="BH64" s="48"/>
      <c r="BI64" s="48"/>
      <c r="BJ64" s="48"/>
      <c r="BK64" s="48"/>
      <c r="BL64" s="48"/>
      <c r="BM64" s="8"/>
      <c r="BN64" s="12"/>
    </row>
    <row r="65" spans="12:66" ht="15" customHeight="1" thickBot="1" x14ac:dyDescent="0.35">
      <c r="L65" s="7"/>
      <c r="M65" s="8"/>
      <c r="N65" s="8"/>
      <c r="O65" s="48"/>
      <c r="P65" s="48"/>
      <c r="Q65" s="48"/>
      <c r="R65" s="48"/>
      <c r="S65" s="8"/>
      <c r="T65" s="8"/>
      <c r="U65" s="12"/>
      <c r="X65" s="7"/>
      <c r="Y65" s="8"/>
      <c r="Z65" s="8"/>
      <c r="AA65" s="48"/>
      <c r="AB65" s="48"/>
      <c r="AC65" s="48"/>
      <c r="AD65" s="48"/>
      <c r="AE65" s="8"/>
      <c r="AF65" s="8"/>
      <c r="AG65" s="12"/>
      <c r="AI65" s="7"/>
      <c r="AJ65" s="8"/>
      <c r="AK65" s="8"/>
      <c r="AL65" s="48"/>
      <c r="AM65" s="48"/>
      <c r="AN65" s="48"/>
      <c r="AO65" s="8"/>
      <c r="AP65" s="8"/>
      <c r="AQ65" s="8"/>
      <c r="AR65" s="12"/>
      <c r="AT65" s="7"/>
      <c r="AU65" s="8"/>
      <c r="AV65" s="48"/>
      <c r="AW65" s="48"/>
      <c r="AX65" s="48"/>
      <c r="AY65" s="48"/>
      <c r="AZ65" s="48"/>
      <c r="BA65" s="48"/>
      <c r="BB65" s="8"/>
      <c r="BC65" s="12"/>
      <c r="BE65" s="7"/>
      <c r="BF65" s="8"/>
      <c r="BG65" s="89"/>
      <c r="BH65" s="90"/>
      <c r="BI65" s="90"/>
      <c r="BJ65" s="91"/>
      <c r="BK65" s="48"/>
      <c r="BL65" s="48"/>
      <c r="BM65" s="8"/>
      <c r="BN65" s="12"/>
    </row>
    <row r="66" spans="12:66" ht="15" customHeight="1" thickBot="1" x14ac:dyDescent="0.35">
      <c r="L66" s="7"/>
      <c r="M66" s="8"/>
      <c r="N66" s="8"/>
      <c r="O66" s="48"/>
      <c r="P66" s="48"/>
      <c r="Q66" s="48"/>
      <c r="R66" s="48"/>
      <c r="S66" s="8"/>
      <c r="T66" s="8"/>
      <c r="U66" s="12"/>
      <c r="X66" s="7"/>
      <c r="Y66" s="8"/>
      <c r="Z66" s="8"/>
      <c r="AA66" s="48"/>
      <c r="AB66" s="88"/>
      <c r="AC66" s="48"/>
      <c r="AD66" s="48"/>
      <c r="AE66" s="8"/>
      <c r="AF66" s="8"/>
      <c r="AG66" s="12"/>
      <c r="AI66" s="7"/>
      <c r="AJ66" s="8"/>
      <c r="AK66" s="8"/>
      <c r="AL66" s="48"/>
      <c r="AM66" s="48"/>
      <c r="AN66" s="48"/>
      <c r="AO66" s="48"/>
      <c r="AP66" s="8"/>
      <c r="AQ66" s="8"/>
      <c r="AR66" s="12"/>
      <c r="AT66" s="7"/>
      <c r="AU66" s="8"/>
      <c r="AV66" s="48"/>
      <c r="AW66" s="48"/>
      <c r="AX66" s="48"/>
      <c r="AY66" s="48"/>
      <c r="AZ66" s="8"/>
      <c r="BA66" s="48"/>
      <c r="BB66" s="8"/>
      <c r="BC66" s="12"/>
      <c r="BE66" s="7"/>
      <c r="BF66" s="8"/>
      <c r="BG66" s="48"/>
      <c r="BH66" s="48"/>
      <c r="BI66" s="48"/>
      <c r="BJ66" s="48"/>
      <c r="BK66" s="48"/>
      <c r="BL66" s="48"/>
      <c r="BM66" s="8"/>
      <c r="BN66" s="12"/>
    </row>
    <row r="67" spans="12:66" ht="15" customHeight="1" x14ac:dyDescent="0.3">
      <c r="L67" s="7"/>
      <c r="M67" s="8"/>
      <c r="N67" s="8"/>
      <c r="O67" s="48"/>
      <c r="P67" s="48"/>
      <c r="Q67" s="48"/>
      <c r="R67" s="48"/>
      <c r="S67" s="8"/>
      <c r="T67" s="8"/>
      <c r="U67" s="12"/>
      <c r="X67" s="7"/>
      <c r="Y67" s="8"/>
      <c r="Z67" s="8"/>
      <c r="AA67" s="48"/>
      <c r="AB67" s="48"/>
      <c r="AC67" s="48"/>
      <c r="AD67" s="48"/>
      <c r="AE67" s="8"/>
      <c r="AF67" s="8"/>
      <c r="AG67" s="12"/>
      <c r="AI67" s="7"/>
      <c r="AJ67" s="8"/>
      <c r="AK67" s="8"/>
      <c r="AL67" s="8"/>
      <c r="AM67" s="48"/>
      <c r="AN67" s="48"/>
      <c r="AO67" s="48"/>
      <c r="AP67" s="8"/>
      <c r="AQ67" s="8"/>
      <c r="AR67" s="12"/>
      <c r="AT67" s="7"/>
      <c r="AU67" s="8"/>
      <c r="AV67" s="8"/>
      <c r="AW67" s="48"/>
      <c r="AX67" s="48"/>
      <c r="AY67" s="48"/>
      <c r="AZ67" s="48"/>
      <c r="BA67" s="48"/>
      <c r="BB67" s="8"/>
      <c r="BC67" s="12"/>
      <c r="BE67" s="7"/>
      <c r="BF67" s="8"/>
      <c r="BG67" s="48"/>
      <c r="BH67" s="48"/>
      <c r="BI67" s="48"/>
      <c r="BJ67" s="48"/>
      <c r="BK67" s="48"/>
      <c r="BL67" s="48"/>
      <c r="BM67" s="8"/>
      <c r="BN67" s="12"/>
    </row>
    <row r="68" spans="12:66" ht="15" customHeight="1" thickBot="1" x14ac:dyDescent="0.35">
      <c r="L68" s="9"/>
      <c r="M68" s="10"/>
      <c r="N68" s="10"/>
      <c r="O68" s="49"/>
      <c r="P68" s="49"/>
      <c r="Q68" s="49"/>
      <c r="R68" s="49"/>
      <c r="S68" s="10"/>
      <c r="T68" s="10"/>
      <c r="U68" s="13"/>
      <c r="X68" s="9"/>
      <c r="Y68" s="10"/>
      <c r="Z68" s="10"/>
      <c r="AA68" s="49"/>
      <c r="AB68" s="49"/>
      <c r="AC68" s="49"/>
      <c r="AD68" s="49"/>
      <c r="AE68" s="10"/>
      <c r="AF68" s="10"/>
      <c r="AG68" s="13"/>
      <c r="AI68" s="9"/>
      <c r="AJ68" s="10"/>
      <c r="AK68" s="10"/>
      <c r="AL68" s="49"/>
      <c r="AM68" s="49"/>
      <c r="AN68" s="49"/>
      <c r="AO68" s="49"/>
      <c r="AP68" s="10"/>
      <c r="AQ68" s="10"/>
      <c r="AR68" s="13"/>
      <c r="AT68" s="9"/>
      <c r="AU68" s="10"/>
      <c r="AV68" s="49"/>
      <c r="AW68" s="49"/>
      <c r="AX68" s="49"/>
      <c r="AY68" s="49"/>
      <c r="AZ68" s="49"/>
      <c r="BA68" s="49"/>
      <c r="BB68" s="10"/>
      <c r="BC68" s="13"/>
      <c r="BE68" s="9"/>
      <c r="BF68" s="10"/>
      <c r="BG68" s="49"/>
      <c r="BH68" s="49"/>
      <c r="BI68" s="49"/>
      <c r="BJ68" s="49"/>
      <c r="BK68" s="49"/>
      <c r="BL68" s="49"/>
      <c r="BM68" s="10"/>
      <c r="BN68" s="13"/>
    </row>
    <row r="69" spans="12:66" ht="15" customHeight="1" thickBot="1" x14ac:dyDescent="0.35">
      <c r="L69" s="1" t="s">
        <v>30</v>
      </c>
      <c r="M69" s="1" t="s">
        <v>169</v>
      </c>
      <c r="X69" s="1" t="s">
        <v>31</v>
      </c>
      <c r="AI69" s="1" t="s">
        <v>32</v>
      </c>
      <c r="AT69" s="1" t="s">
        <v>33</v>
      </c>
      <c r="BE69" s="1" t="s">
        <v>34</v>
      </c>
    </row>
    <row r="70" spans="12:66" ht="15" customHeight="1" thickTop="1" x14ac:dyDescent="0.3">
      <c r="L70" s="5"/>
      <c r="M70" s="6"/>
      <c r="N70" s="47"/>
      <c r="O70" s="47"/>
      <c r="P70" s="47"/>
      <c r="Q70" s="47"/>
      <c r="R70" s="47"/>
      <c r="S70" s="47"/>
      <c r="T70" s="6"/>
      <c r="U70" s="11"/>
      <c r="X70" s="5"/>
      <c r="Y70" s="6"/>
      <c r="Z70" s="73"/>
      <c r="AA70" s="97"/>
      <c r="AB70" s="99"/>
      <c r="AC70" s="100"/>
      <c r="AD70" s="73"/>
      <c r="AE70" s="97"/>
      <c r="AF70" s="6"/>
      <c r="AG70" s="11"/>
      <c r="AI70" s="5"/>
      <c r="AJ70" s="6"/>
      <c r="AK70" s="73"/>
      <c r="AL70" s="97"/>
      <c r="AM70" s="99"/>
      <c r="AN70" s="100"/>
      <c r="AO70" s="73"/>
      <c r="AP70" s="97"/>
      <c r="AQ70" s="6"/>
      <c r="AR70" s="11"/>
      <c r="AT70" s="5"/>
      <c r="AU70" s="6"/>
      <c r="AV70" s="6"/>
      <c r="AW70" s="73"/>
      <c r="AX70" s="97"/>
      <c r="AY70" s="47"/>
      <c r="AZ70" s="47"/>
      <c r="BA70" s="6"/>
      <c r="BB70" s="6"/>
      <c r="BC70" s="11"/>
      <c r="BE70" s="5"/>
      <c r="BF70" s="6"/>
      <c r="BG70" s="6"/>
      <c r="BH70" s="47"/>
      <c r="BI70" s="47"/>
      <c r="BJ70" s="47"/>
      <c r="BK70" s="47"/>
      <c r="BL70" s="6"/>
      <c r="BM70" s="6"/>
      <c r="BN70" s="11"/>
    </row>
    <row r="71" spans="12:66" ht="15" customHeight="1" thickBot="1" x14ac:dyDescent="0.35">
      <c r="L71" s="7"/>
      <c r="M71" s="8"/>
      <c r="N71" s="48"/>
      <c r="O71" s="48"/>
      <c r="P71" s="48"/>
      <c r="Q71" s="48"/>
      <c r="R71" s="48"/>
      <c r="S71" s="48"/>
      <c r="T71" s="8"/>
      <c r="U71" s="12"/>
      <c r="X71" s="7"/>
      <c r="Y71" s="8"/>
      <c r="Z71" s="77"/>
      <c r="AA71" s="98"/>
      <c r="AB71" s="48"/>
      <c r="AC71" s="48"/>
      <c r="AD71" s="77"/>
      <c r="AE71" s="98"/>
      <c r="AF71" s="8"/>
      <c r="AG71" s="12"/>
      <c r="AI71" s="7"/>
      <c r="AJ71" s="8"/>
      <c r="AK71" s="77"/>
      <c r="AL71" s="98"/>
      <c r="AM71" s="48"/>
      <c r="AN71" s="48"/>
      <c r="AO71" s="77"/>
      <c r="AP71" s="98"/>
      <c r="AQ71" s="8"/>
      <c r="AR71" s="12"/>
      <c r="AT71" s="7"/>
      <c r="AU71" s="8"/>
      <c r="AV71" s="8"/>
      <c r="AW71" s="77"/>
      <c r="AX71" s="98"/>
      <c r="AY71" s="48"/>
      <c r="AZ71" s="48"/>
      <c r="BA71" s="8"/>
      <c r="BB71" s="8"/>
      <c r="BC71" s="12"/>
      <c r="BE71" s="7"/>
      <c r="BF71" s="8"/>
      <c r="BG71" s="8"/>
      <c r="BH71" s="48"/>
      <c r="BI71" s="48"/>
      <c r="BJ71" s="48"/>
      <c r="BK71" s="48"/>
      <c r="BL71" s="8"/>
      <c r="BM71" s="8"/>
      <c r="BN71" s="12"/>
    </row>
    <row r="72" spans="12:66" ht="15" customHeight="1" thickBot="1" x14ac:dyDescent="0.35">
      <c r="L72" s="7"/>
      <c r="M72" s="8"/>
      <c r="N72" s="48"/>
      <c r="O72" s="48"/>
      <c r="P72" s="92"/>
      <c r="Q72" s="93"/>
      <c r="R72" s="93"/>
      <c r="S72" s="94"/>
      <c r="T72" s="8"/>
      <c r="U72" s="12"/>
      <c r="X72" s="7"/>
      <c r="Y72" s="8"/>
      <c r="Z72" s="48"/>
      <c r="AA72" s="48"/>
      <c r="AB72" s="48"/>
      <c r="AC72" s="48"/>
      <c r="AD72" s="48"/>
      <c r="AE72" s="48"/>
      <c r="AF72" s="8"/>
      <c r="AG72" s="12"/>
      <c r="AI72" s="7"/>
      <c r="AJ72" s="8"/>
      <c r="AK72" s="48"/>
      <c r="AL72" s="48"/>
      <c r="AM72" s="48"/>
      <c r="AN72" s="48"/>
      <c r="AO72" s="48"/>
      <c r="AP72" s="48"/>
      <c r="AQ72" s="8"/>
      <c r="AR72" s="12"/>
      <c r="AT72" s="7"/>
      <c r="AU72" s="8"/>
      <c r="AV72" s="8"/>
      <c r="AW72" s="48"/>
      <c r="AX72" s="48"/>
      <c r="AY72" s="48"/>
      <c r="AZ72" s="48"/>
      <c r="BA72" s="8"/>
      <c r="BB72" s="8"/>
      <c r="BC72" s="12"/>
      <c r="BE72" s="7"/>
      <c r="BF72" s="8"/>
      <c r="BG72" s="8"/>
      <c r="BH72" s="48"/>
      <c r="BI72" s="48"/>
      <c r="BJ72" s="48"/>
      <c r="BK72" s="48"/>
      <c r="BL72" s="8"/>
      <c r="BM72" s="8"/>
      <c r="BN72" s="12"/>
    </row>
    <row r="73" spans="12:66" ht="15" customHeight="1" thickBot="1" x14ac:dyDescent="0.35">
      <c r="L73" s="7"/>
      <c r="M73" s="8"/>
      <c r="N73" s="48"/>
      <c r="O73" s="48"/>
      <c r="P73" s="48"/>
      <c r="Q73" s="48"/>
      <c r="R73" s="48"/>
      <c r="S73" s="48"/>
      <c r="T73" s="8"/>
      <c r="U73" s="12"/>
      <c r="X73" s="7"/>
      <c r="Y73" s="8"/>
      <c r="Z73" s="48"/>
      <c r="AA73" s="48"/>
      <c r="AB73" s="48"/>
      <c r="AC73" s="48"/>
      <c r="AD73" s="48"/>
      <c r="AE73" s="48"/>
      <c r="AF73" s="8"/>
      <c r="AG73" s="12"/>
      <c r="AI73" s="7"/>
      <c r="AJ73" s="8"/>
      <c r="AK73" s="48"/>
      <c r="AL73" s="48"/>
      <c r="AM73" s="48"/>
      <c r="AN73" s="48"/>
      <c r="AO73" s="48"/>
      <c r="AP73" s="48"/>
      <c r="AQ73" s="8"/>
      <c r="AR73" s="12"/>
      <c r="AT73" s="7"/>
      <c r="AU73" s="8"/>
      <c r="AV73" s="8"/>
      <c r="AW73" s="48"/>
      <c r="AX73" s="48"/>
      <c r="AY73" s="48"/>
      <c r="AZ73" s="48"/>
      <c r="BA73" s="8"/>
      <c r="BB73" s="8"/>
      <c r="BC73" s="12"/>
      <c r="BE73" s="7"/>
      <c r="BF73" s="8"/>
      <c r="BG73" s="8"/>
      <c r="BH73" s="48"/>
      <c r="BI73" s="48"/>
      <c r="BJ73" s="48"/>
      <c r="BK73" s="48"/>
      <c r="BL73" s="8"/>
      <c r="BM73" s="8"/>
      <c r="BN73" s="12"/>
    </row>
    <row r="74" spans="12:66" ht="15" customHeight="1" x14ac:dyDescent="0.3">
      <c r="L74" s="7"/>
      <c r="M74" s="8"/>
      <c r="N74" s="48"/>
      <c r="O74" s="48"/>
      <c r="P74" s="48"/>
      <c r="Q74" s="48"/>
      <c r="R74" s="48"/>
      <c r="S74" s="48"/>
      <c r="T74" s="8"/>
      <c r="U74" s="12"/>
      <c r="X74" s="7"/>
      <c r="Y74" s="8"/>
      <c r="Z74" s="48"/>
      <c r="AA74" s="48"/>
      <c r="AB74" s="48"/>
      <c r="AC74" s="48"/>
      <c r="AD74" s="48"/>
      <c r="AE74" s="48"/>
      <c r="AF74" s="8"/>
      <c r="AG74" s="12"/>
      <c r="AI74" s="7"/>
      <c r="AJ74" s="8"/>
      <c r="AK74" s="48"/>
      <c r="AL74" s="48"/>
      <c r="AM74" s="48"/>
      <c r="AN74" s="48"/>
      <c r="AO74" s="48"/>
      <c r="AP74" s="48"/>
      <c r="AQ74" s="8"/>
      <c r="AR74" s="12"/>
      <c r="AT74" s="7"/>
      <c r="AU74" s="8"/>
      <c r="AV74" s="8"/>
      <c r="AW74" s="48"/>
      <c r="AX74" s="48"/>
      <c r="AY74" s="73"/>
      <c r="AZ74" s="97"/>
      <c r="BA74" s="8"/>
      <c r="BB74" s="8"/>
      <c r="BC74" s="12"/>
      <c r="BE74" s="7"/>
      <c r="BF74" s="8"/>
      <c r="BG74" s="8"/>
      <c r="BH74" s="59"/>
      <c r="BI74" s="61"/>
      <c r="BJ74" s="48"/>
      <c r="BK74" s="48"/>
      <c r="BL74" s="8"/>
      <c r="BM74" s="8"/>
      <c r="BN74" s="12"/>
    </row>
    <row r="75" spans="12:66" ht="15" customHeight="1" thickBot="1" x14ac:dyDescent="0.35">
      <c r="L75" s="7"/>
      <c r="M75" s="8"/>
      <c r="N75" s="48"/>
      <c r="O75" s="48"/>
      <c r="P75" s="48"/>
      <c r="Q75" s="48"/>
      <c r="R75" s="48"/>
      <c r="S75" s="48"/>
      <c r="T75" s="8"/>
      <c r="U75" s="12"/>
      <c r="X75" s="7"/>
      <c r="Y75" s="8"/>
      <c r="Z75" s="48"/>
      <c r="AA75" s="48"/>
      <c r="AB75" s="48"/>
      <c r="AC75" s="48"/>
      <c r="AD75" s="48"/>
      <c r="AE75" s="48"/>
      <c r="AF75" s="8"/>
      <c r="AG75" s="12"/>
      <c r="AI75" s="7"/>
      <c r="AJ75" s="8"/>
      <c r="AK75" s="48"/>
      <c r="AL75" s="48"/>
      <c r="AM75" s="48"/>
      <c r="AN75" s="48"/>
      <c r="AO75" s="48"/>
      <c r="AP75" s="48"/>
      <c r="AQ75" s="8"/>
      <c r="AR75" s="12"/>
      <c r="AT75" s="7"/>
      <c r="AU75" s="8"/>
      <c r="AV75" s="8"/>
      <c r="AW75" s="48"/>
      <c r="AX75" s="48"/>
      <c r="AY75" s="77"/>
      <c r="AZ75" s="98"/>
      <c r="BA75" s="8"/>
      <c r="BB75" s="8"/>
      <c r="BC75" s="12"/>
      <c r="BE75" s="7"/>
      <c r="BF75" s="8"/>
      <c r="BG75" s="8"/>
      <c r="BH75" s="62"/>
      <c r="BI75" s="64"/>
      <c r="BJ75" s="48"/>
      <c r="BK75" s="48"/>
      <c r="BL75" s="8"/>
      <c r="BM75" s="8"/>
      <c r="BN75" s="12"/>
    </row>
    <row r="76" spans="12:66" ht="15" customHeight="1" thickBot="1" x14ac:dyDescent="0.35">
      <c r="L76" s="7"/>
      <c r="M76" s="8"/>
      <c r="N76" s="92"/>
      <c r="O76" s="95"/>
      <c r="P76" s="48"/>
      <c r="Q76" s="48"/>
      <c r="R76" s="92"/>
      <c r="S76" s="94"/>
      <c r="T76" s="8"/>
      <c r="U76" s="12"/>
      <c r="X76" s="7"/>
      <c r="Y76" s="8"/>
      <c r="Z76" s="48"/>
      <c r="AA76" s="48"/>
      <c r="AB76" s="48"/>
      <c r="AC76" s="48"/>
      <c r="AD76" s="48"/>
      <c r="AE76" s="48"/>
      <c r="AF76" s="8"/>
      <c r="AG76" s="12"/>
      <c r="AI76" s="7"/>
      <c r="AJ76" s="8"/>
      <c r="AK76" s="48"/>
      <c r="AL76" s="48"/>
      <c r="AM76" s="48"/>
      <c r="AN76" s="48"/>
      <c r="AO76" s="48"/>
      <c r="AP76" s="48"/>
      <c r="AQ76" s="8"/>
      <c r="AR76" s="12"/>
      <c r="AT76" s="7"/>
      <c r="AU76" s="8"/>
      <c r="AV76" s="8"/>
      <c r="AW76" s="48"/>
      <c r="AX76" s="48"/>
      <c r="AY76" s="48"/>
      <c r="AZ76" s="48"/>
      <c r="BA76" s="8"/>
      <c r="BB76" s="8"/>
      <c r="BC76" s="12"/>
      <c r="BE76" s="7"/>
      <c r="BF76" s="8"/>
      <c r="BG76" s="8"/>
      <c r="BH76" s="48"/>
      <c r="BI76" s="48"/>
      <c r="BJ76" s="48"/>
      <c r="BK76" s="48"/>
      <c r="BL76" s="8"/>
      <c r="BM76" s="8"/>
      <c r="BN76" s="12"/>
    </row>
    <row r="77" spans="12:66" ht="15" customHeight="1" x14ac:dyDescent="0.3">
      <c r="L77" s="7"/>
      <c r="M77" s="8"/>
      <c r="N77" s="48"/>
      <c r="O77" s="48"/>
      <c r="P77" s="48"/>
      <c r="Q77" s="48"/>
      <c r="R77" s="48"/>
      <c r="S77" s="48"/>
      <c r="T77" s="8"/>
      <c r="U77" s="12"/>
      <c r="X77" s="7"/>
      <c r="Y77" s="8"/>
      <c r="Z77" s="48"/>
      <c r="AA77" s="48"/>
      <c r="AB77" s="73"/>
      <c r="AC77" s="97"/>
      <c r="AD77" s="48"/>
      <c r="AE77" s="48"/>
      <c r="AF77" s="8"/>
      <c r="AG77" s="12"/>
      <c r="AI77" s="7"/>
      <c r="AJ77" s="8"/>
      <c r="AK77" s="48"/>
      <c r="AL77" s="48"/>
      <c r="AM77" s="67"/>
      <c r="AN77" s="69"/>
      <c r="AO77" s="48"/>
      <c r="AP77" s="48"/>
      <c r="AQ77" s="8"/>
      <c r="AR77" s="12"/>
      <c r="AT77" s="7"/>
      <c r="AU77" s="8"/>
      <c r="AV77" s="8"/>
      <c r="AW77" s="48"/>
      <c r="AX77" s="48"/>
      <c r="AY77" s="48"/>
      <c r="AZ77" s="48"/>
      <c r="BA77" s="8"/>
      <c r="BB77" s="8"/>
      <c r="BC77" s="12"/>
      <c r="BE77" s="7"/>
      <c r="BF77" s="8"/>
      <c r="BG77" s="8"/>
      <c r="BH77" s="48"/>
      <c r="BI77" s="48"/>
      <c r="BJ77" s="48"/>
      <c r="BK77" s="48"/>
      <c r="BL77" s="8"/>
      <c r="BM77" s="8"/>
      <c r="BN77" s="12"/>
    </row>
    <row r="78" spans="12:66" ht="15" customHeight="1" thickBot="1" x14ac:dyDescent="0.35">
      <c r="L78" s="7"/>
      <c r="M78" s="8"/>
      <c r="N78" s="48"/>
      <c r="O78" s="48"/>
      <c r="P78" s="48"/>
      <c r="Q78" s="48"/>
      <c r="R78" s="48"/>
      <c r="S78" s="48"/>
      <c r="T78" s="8"/>
      <c r="U78" s="12"/>
      <c r="X78" s="7"/>
      <c r="Y78" s="8"/>
      <c r="Z78" s="48"/>
      <c r="AA78" s="48"/>
      <c r="AB78" s="77"/>
      <c r="AC78" s="98"/>
      <c r="AD78" s="48"/>
      <c r="AE78" s="48"/>
      <c r="AF78" s="8"/>
      <c r="AG78" s="12"/>
      <c r="AI78" s="7"/>
      <c r="AJ78" s="8"/>
      <c r="AK78" s="48"/>
      <c r="AL78" s="48"/>
      <c r="AM78" s="70"/>
      <c r="AN78" s="72"/>
      <c r="AO78" s="48"/>
      <c r="AP78" s="48"/>
      <c r="AQ78" s="8"/>
      <c r="AR78" s="12"/>
      <c r="AT78" s="7"/>
      <c r="AU78" s="8"/>
      <c r="AV78" s="8"/>
      <c r="AW78" s="48"/>
      <c r="AX78" s="48"/>
      <c r="AY78" s="48"/>
      <c r="AZ78" s="48"/>
      <c r="BA78" s="8"/>
      <c r="BB78" s="8"/>
      <c r="BC78" s="12"/>
      <c r="BE78" s="7"/>
      <c r="BF78" s="8"/>
      <c r="BG78" s="8"/>
      <c r="BH78" s="48"/>
      <c r="BI78" s="48"/>
      <c r="BJ78" s="48"/>
      <c r="BK78" s="48"/>
      <c r="BL78" s="8"/>
      <c r="BM78" s="8"/>
      <c r="BN78" s="12"/>
    </row>
    <row r="79" spans="12:66" ht="15" customHeight="1" thickBot="1" x14ac:dyDescent="0.35">
      <c r="L79" s="9"/>
      <c r="M79" s="10"/>
      <c r="N79" s="49"/>
      <c r="O79" s="49"/>
      <c r="P79" s="49"/>
      <c r="Q79" s="49"/>
      <c r="R79" s="49"/>
      <c r="S79" s="49"/>
      <c r="T79" s="10"/>
      <c r="U79" s="13"/>
      <c r="X79" s="9"/>
      <c r="Y79" s="10"/>
      <c r="Z79" s="49"/>
      <c r="AA79" s="49"/>
      <c r="AB79" s="49"/>
      <c r="AC79" s="49"/>
      <c r="AD79" s="49"/>
      <c r="AE79" s="49"/>
      <c r="AF79" s="10"/>
      <c r="AG79" s="13"/>
      <c r="AI79" s="9"/>
      <c r="AJ79" s="10"/>
      <c r="AK79" s="49"/>
      <c r="AL79" s="49"/>
      <c r="AM79" s="49"/>
      <c r="AN79" s="49"/>
      <c r="AO79" s="49"/>
      <c r="AP79" s="49"/>
      <c r="AQ79" s="10"/>
      <c r="AR79" s="13"/>
      <c r="AT79" s="9"/>
      <c r="AU79" s="10"/>
      <c r="AV79" s="10"/>
      <c r="AW79" s="49"/>
      <c r="AX79" s="49"/>
      <c r="AY79" s="49"/>
      <c r="AZ79" s="49"/>
      <c r="BA79" s="10"/>
      <c r="BB79" s="10"/>
      <c r="BC79" s="13"/>
      <c r="BE79" s="9"/>
      <c r="BF79" s="10"/>
      <c r="BG79" s="10"/>
      <c r="BH79" s="49"/>
      <c r="BI79" s="49"/>
      <c r="BJ79" s="49"/>
      <c r="BK79" s="49"/>
      <c r="BL79" s="10"/>
      <c r="BM79" s="10"/>
      <c r="BN79" s="13"/>
    </row>
    <row r="80" spans="12:66" ht="15" customHeight="1" thickBot="1" x14ac:dyDescent="0.35">
      <c r="L80" s="1" t="s">
        <v>35</v>
      </c>
      <c r="X80" s="1" t="s">
        <v>36</v>
      </c>
      <c r="AI80" s="1" t="s">
        <v>37</v>
      </c>
      <c r="AT80" s="1" t="s">
        <v>38</v>
      </c>
      <c r="BE80" s="1" t="s">
        <v>39</v>
      </c>
    </row>
    <row r="81" spans="12:66" ht="15" customHeight="1" thickBot="1" x14ac:dyDescent="0.35">
      <c r="L81" s="5"/>
      <c r="M81" s="47"/>
      <c r="N81" s="47"/>
      <c r="O81" s="47"/>
      <c r="P81" s="47"/>
      <c r="Q81" s="47"/>
      <c r="R81" s="47"/>
      <c r="S81" s="47"/>
      <c r="T81" s="47"/>
      <c r="U81" s="11"/>
      <c r="X81" s="5"/>
      <c r="Y81" s="6"/>
      <c r="Z81" s="6"/>
      <c r="AA81" s="6"/>
      <c r="AB81" s="6"/>
      <c r="AC81" s="6"/>
      <c r="AD81" s="6"/>
      <c r="AE81" s="6"/>
      <c r="AF81" s="6"/>
      <c r="AG81" s="11"/>
      <c r="AI81" s="5"/>
      <c r="AJ81" s="6"/>
      <c r="AK81" s="47"/>
      <c r="AL81" s="47"/>
      <c r="AM81" s="47"/>
      <c r="AN81" s="47"/>
      <c r="AO81" s="47"/>
      <c r="AP81" s="47"/>
      <c r="AQ81" s="6"/>
      <c r="AR81" s="11"/>
      <c r="AT81" s="5"/>
      <c r="AU81" s="6"/>
      <c r="AV81" s="47"/>
      <c r="AW81" s="47"/>
      <c r="AX81" s="47"/>
      <c r="AY81" s="47"/>
      <c r="AZ81" s="47"/>
      <c r="BA81" s="39"/>
      <c r="BB81" s="6"/>
      <c r="BC81" s="11"/>
      <c r="BE81" s="5"/>
      <c r="BF81" s="6"/>
      <c r="BG81" s="92"/>
      <c r="BH81" s="93"/>
      <c r="BI81" s="93"/>
      <c r="BJ81" s="94"/>
      <c r="BK81" s="47"/>
      <c r="BL81" s="47"/>
      <c r="BM81" s="6"/>
      <c r="BN81" s="11"/>
    </row>
    <row r="82" spans="12:66" ht="15" customHeight="1" thickBot="1" x14ac:dyDescent="0.35">
      <c r="L82" s="7"/>
      <c r="M82" s="102"/>
      <c r="N82" s="48"/>
      <c r="O82" s="48"/>
      <c r="P82" s="48"/>
      <c r="Q82" s="48"/>
      <c r="R82" s="48"/>
      <c r="S82" s="48"/>
      <c r="T82" s="15"/>
      <c r="U82" s="12"/>
      <c r="X82" s="7"/>
      <c r="Y82" s="8"/>
      <c r="Z82" s="8"/>
      <c r="AA82" s="8"/>
      <c r="AB82" s="8"/>
      <c r="AC82" s="8"/>
      <c r="AD82" s="8"/>
      <c r="AE82" s="8"/>
      <c r="AF82" s="8"/>
      <c r="AG82" s="12"/>
      <c r="AI82" s="7"/>
      <c r="AJ82" s="8"/>
      <c r="AK82" s="48"/>
      <c r="AL82" s="48"/>
      <c r="AM82" s="48"/>
      <c r="AN82" s="48"/>
      <c r="AO82" s="48"/>
      <c r="AP82" s="48"/>
      <c r="AQ82" s="8"/>
      <c r="AR82" s="12"/>
      <c r="AT82" s="7"/>
      <c r="AU82" s="8"/>
      <c r="AV82" s="48"/>
      <c r="AW82" s="48"/>
      <c r="AX82" s="48"/>
      <c r="AY82" s="48"/>
      <c r="AZ82" s="15"/>
      <c r="BA82" s="48"/>
      <c r="BB82" s="8"/>
      <c r="BC82" s="12"/>
      <c r="BE82" s="7"/>
      <c r="BF82" s="8"/>
      <c r="BG82" s="92"/>
      <c r="BH82" s="93"/>
      <c r="BI82" s="94"/>
      <c r="BJ82" s="48"/>
      <c r="BK82" s="48"/>
      <c r="BL82" s="101"/>
      <c r="BM82" s="8"/>
      <c r="BN82" s="12"/>
    </row>
    <row r="83" spans="12:66" ht="15" customHeight="1" thickBot="1" x14ac:dyDescent="0.35">
      <c r="L83" s="7"/>
      <c r="M83" s="48"/>
      <c r="N83" s="102"/>
      <c r="O83" s="48"/>
      <c r="P83" s="48"/>
      <c r="Q83" s="48"/>
      <c r="R83" s="48"/>
      <c r="S83" s="15"/>
      <c r="T83" s="48"/>
      <c r="U83" s="12"/>
      <c r="X83" s="7"/>
      <c r="Y83" s="8"/>
      <c r="Z83" s="8"/>
      <c r="AA83" s="48"/>
      <c r="AB83" s="48"/>
      <c r="AC83" s="48"/>
      <c r="AD83" s="48"/>
      <c r="AE83" s="8"/>
      <c r="AF83" s="8"/>
      <c r="AG83" s="12"/>
      <c r="AI83" s="7"/>
      <c r="AJ83" s="8"/>
      <c r="AK83" s="48"/>
      <c r="AL83" s="48"/>
      <c r="AM83" s="48"/>
      <c r="AN83" s="48"/>
      <c r="AO83" s="48"/>
      <c r="AP83" s="48"/>
      <c r="AQ83" s="8"/>
      <c r="AR83" s="12"/>
      <c r="AT83" s="7"/>
      <c r="AU83" s="8"/>
      <c r="AV83" s="16"/>
      <c r="AW83" s="48"/>
      <c r="AX83" s="48"/>
      <c r="AY83" s="15"/>
      <c r="AZ83" s="48"/>
      <c r="BA83" s="48"/>
      <c r="BB83" s="8"/>
      <c r="BC83" s="12"/>
      <c r="BE83" s="7"/>
      <c r="BF83" s="8"/>
      <c r="BG83" s="92"/>
      <c r="BH83" s="94"/>
      <c r="BI83" s="48"/>
      <c r="BJ83" s="48"/>
      <c r="BK83" s="59"/>
      <c r="BL83" s="61"/>
      <c r="BM83" s="8"/>
      <c r="BN83" s="12"/>
    </row>
    <row r="84" spans="12:66" ht="15" customHeight="1" thickBot="1" x14ac:dyDescent="0.35">
      <c r="L84" s="7"/>
      <c r="M84" s="48"/>
      <c r="N84" s="48"/>
      <c r="O84" s="102"/>
      <c r="P84" s="48"/>
      <c r="Q84" s="48"/>
      <c r="R84" s="15"/>
      <c r="S84" s="48"/>
      <c r="T84" s="48"/>
      <c r="U84" s="12"/>
      <c r="X84" s="7"/>
      <c r="Y84" s="8"/>
      <c r="Z84" s="8"/>
      <c r="AA84" s="48"/>
      <c r="AB84" s="48"/>
      <c r="AC84" s="48"/>
      <c r="AD84" s="48"/>
      <c r="AE84" s="8"/>
      <c r="AF84" s="8"/>
      <c r="AG84" s="12"/>
      <c r="AI84" s="7"/>
      <c r="AJ84" s="8"/>
      <c r="AK84" s="48"/>
      <c r="AL84" s="48"/>
      <c r="AM84" s="48"/>
      <c r="AN84" s="48"/>
      <c r="AO84" s="48"/>
      <c r="AP84" s="48"/>
      <c r="AQ84" s="8"/>
      <c r="AR84" s="12"/>
      <c r="AT84" s="7"/>
      <c r="AU84" s="8"/>
      <c r="AV84" s="48"/>
      <c r="AW84" s="57"/>
      <c r="AX84" s="79"/>
      <c r="AY84" s="48"/>
      <c r="AZ84" s="48"/>
      <c r="BA84" s="48"/>
      <c r="BB84" s="8"/>
      <c r="BC84" s="12"/>
      <c r="BE84" s="7"/>
      <c r="BF84" s="8"/>
      <c r="BG84" s="96"/>
      <c r="BH84" s="48"/>
      <c r="BI84" s="48"/>
      <c r="BJ84" s="59"/>
      <c r="BK84" s="60"/>
      <c r="BL84" s="61"/>
      <c r="BM84" s="8"/>
      <c r="BN84" s="12"/>
    </row>
    <row r="85" spans="12:66" ht="15" customHeight="1" thickBot="1" x14ac:dyDescent="0.35">
      <c r="L85" s="7"/>
      <c r="M85" s="48"/>
      <c r="N85" s="48"/>
      <c r="O85" s="48"/>
      <c r="P85" s="79"/>
      <c r="Q85" s="79"/>
      <c r="R85" s="48"/>
      <c r="S85" s="48"/>
      <c r="T85" s="48"/>
      <c r="U85" s="12"/>
      <c r="X85" s="7"/>
      <c r="Y85" s="8"/>
      <c r="Z85" s="8"/>
      <c r="AA85" s="48"/>
      <c r="AB85" s="48"/>
      <c r="AC85" s="48"/>
      <c r="AD85" s="48"/>
      <c r="AE85" s="8"/>
      <c r="AF85" s="8"/>
      <c r="AG85" s="12"/>
      <c r="AI85" s="7"/>
      <c r="AJ85" s="8"/>
      <c r="AK85" s="96"/>
      <c r="AL85" s="48"/>
      <c r="AM85" s="48"/>
      <c r="AN85" s="48"/>
      <c r="AO85" s="48"/>
      <c r="AP85" s="48"/>
      <c r="AQ85" s="8"/>
      <c r="AR85" s="12"/>
      <c r="AT85" s="7"/>
      <c r="AU85" s="8"/>
      <c r="AV85" s="48"/>
      <c r="AW85" s="79"/>
      <c r="AX85" s="57"/>
      <c r="AY85" s="48"/>
      <c r="AZ85" s="48"/>
      <c r="BA85" s="48"/>
      <c r="BB85" s="8"/>
      <c r="BC85" s="12"/>
      <c r="BE85" s="7"/>
      <c r="BF85" s="8"/>
      <c r="BG85" s="48"/>
      <c r="BH85" s="48"/>
      <c r="BI85" s="92"/>
      <c r="BJ85" s="93"/>
      <c r="BK85" s="93"/>
      <c r="BL85" s="94"/>
      <c r="BM85" s="8"/>
      <c r="BN85" s="12"/>
    </row>
    <row r="86" spans="12:66" ht="15" customHeight="1" thickBot="1" x14ac:dyDescent="0.35">
      <c r="L86" s="7"/>
      <c r="M86" s="48"/>
      <c r="N86" s="48"/>
      <c r="O86" s="48"/>
      <c r="P86" s="79"/>
      <c r="Q86" s="79"/>
      <c r="R86" s="48"/>
      <c r="S86" s="48"/>
      <c r="T86" s="48"/>
      <c r="U86" s="12"/>
      <c r="X86" s="7"/>
      <c r="Y86" s="8"/>
      <c r="Z86" s="8"/>
      <c r="AA86" s="48"/>
      <c r="AB86" s="48"/>
      <c r="AC86" s="48"/>
      <c r="AD86" s="48"/>
      <c r="AE86" s="8"/>
      <c r="AF86" s="8"/>
      <c r="AG86" s="12"/>
      <c r="AI86" s="7"/>
      <c r="AJ86" s="8"/>
      <c r="AK86" s="48"/>
      <c r="AL86" s="48"/>
      <c r="AM86" s="48"/>
      <c r="AN86" s="48"/>
      <c r="AO86" s="48"/>
      <c r="AP86" s="48"/>
      <c r="AQ86" s="8"/>
      <c r="AR86" s="12"/>
      <c r="AT86" s="7"/>
      <c r="AU86" s="8"/>
      <c r="AV86" s="15"/>
      <c r="AW86" s="48"/>
      <c r="AX86" s="48"/>
      <c r="AY86" s="16"/>
      <c r="AZ86" s="48"/>
      <c r="BA86" s="48"/>
      <c r="BB86" s="8"/>
      <c r="BC86" s="12"/>
      <c r="BE86" s="7"/>
      <c r="BF86" s="8"/>
      <c r="BG86" s="101"/>
      <c r="BH86" s="48"/>
      <c r="BI86" s="48"/>
      <c r="BJ86" s="92"/>
      <c r="BK86" s="93"/>
      <c r="BL86" s="94"/>
      <c r="BM86" s="8"/>
      <c r="BN86" s="12"/>
    </row>
    <row r="87" spans="12:66" ht="15" customHeight="1" thickBot="1" x14ac:dyDescent="0.35">
      <c r="L87" s="7"/>
      <c r="M87" s="48"/>
      <c r="N87" s="48"/>
      <c r="O87" s="15"/>
      <c r="P87" s="48"/>
      <c r="Q87" s="48"/>
      <c r="R87" s="102"/>
      <c r="S87" s="48"/>
      <c r="T87" s="48"/>
      <c r="U87" s="12"/>
      <c r="X87" s="7"/>
      <c r="Y87" s="8"/>
      <c r="Z87" s="8"/>
      <c r="AA87" s="48"/>
      <c r="AB87" s="48"/>
      <c r="AC87" s="48"/>
      <c r="AD87" s="48"/>
      <c r="AE87" s="8"/>
      <c r="AF87" s="8"/>
      <c r="AG87" s="12"/>
      <c r="AI87" s="7"/>
      <c r="AJ87" s="8"/>
      <c r="AK87" s="48"/>
      <c r="AL87" s="48"/>
      <c r="AM87" s="48"/>
      <c r="AN87" s="48"/>
      <c r="AO87" s="48"/>
      <c r="AP87" s="48"/>
      <c r="AQ87" s="8"/>
      <c r="AR87" s="12"/>
      <c r="AT87" s="7"/>
      <c r="AU87" s="8"/>
      <c r="AV87" s="48"/>
      <c r="AW87" s="48"/>
      <c r="AX87" s="48"/>
      <c r="AY87" s="48"/>
      <c r="AZ87" s="16"/>
      <c r="BA87" s="48"/>
      <c r="BB87" s="8"/>
      <c r="BC87" s="12"/>
      <c r="BE87" s="7"/>
      <c r="BF87" s="8"/>
      <c r="BG87" s="59"/>
      <c r="BH87" s="61"/>
      <c r="BI87" s="48"/>
      <c r="BJ87" s="48"/>
      <c r="BK87" s="92"/>
      <c r="BL87" s="94"/>
      <c r="BM87" s="8"/>
      <c r="BN87" s="12"/>
    </row>
    <row r="88" spans="12:66" ht="15" customHeight="1" thickBot="1" x14ac:dyDescent="0.35">
      <c r="L88" s="7"/>
      <c r="M88" s="48"/>
      <c r="N88" s="15"/>
      <c r="O88" s="48"/>
      <c r="P88" s="48"/>
      <c r="Q88" s="48"/>
      <c r="R88" s="48"/>
      <c r="S88" s="102"/>
      <c r="T88" s="48"/>
      <c r="U88" s="12"/>
      <c r="X88" s="7"/>
      <c r="Y88" s="8"/>
      <c r="Z88" s="8"/>
      <c r="AA88" s="48"/>
      <c r="AB88" s="48"/>
      <c r="AC88" s="48"/>
      <c r="AD88" s="48"/>
      <c r="AE88" s="8"/>
      <c r="AF88" s="8"/>
      <c r="AG88" s="12"/>
      <c r="AI88" s="7"/>
      <c r="AJ88" s="8"/>
      <c r="AK88" s="48"/>
      <c r="AL88" s="48"/>
      <c r="AM88" s="48"/>
      <c r="AN88" s="48"/>
      <c r="AO88" s="48"/>
      <c r="AP88" s="48"/>
      <c r="AQ88" s="8"/>
      <c r="AR88" s="12"/>
      <c r="AT88" s="7"/>
      <c r="AU88" s="8"/>
      <c r="AV88" s="48"/>
      <c r="AW88" s="48"/>
      <c r="AX88" s="48"/>
      <c r="AY88" s="48"/>
      <c r="AZ88" s="48"/>
      <c r="BA88" s="16"/>
      <c r="BB88" s="8"/>
      <c r="BC88" s="12"/>
      <c r="BE88" s="7"/>
      <c r="BF88" s="8"/>
      <c r="BG88" s="59"/>
      <c r="BH88" s="60"/>
      <c r="BI88" s="61"/>
      <c r="BJ88" s="48"/>
      <c r="BK88" s="48"/>
      <c r="BL88" s="96"/>
      <c r="BM88" s="8"/>
      <c r="BN88" s="12"/>
    </row>
    <row r="89" spans="12:66" ht="15" customHeight="1" thickBot="1" x14ac:dyDescent="0.35">
      <c r="L89" s="7"/>
      <c r="M89" s="15"/>
      <c r="N89" s="48"/>
      <c r="O89" s="48"/>
      <c r="P89" s="48"/>
      <c r="Q89" s="48"/>
      <c r="R89" s="48"/>
      <c r="S89" s="48"/>
      <c r="T89" s="102"/>
      <c r="U89" s="12"/>
      <c r="X89" s="7"/>
      <c r="Y89" s="8"/>
      <c r="Z89" s="8"/>
      <c r="AA89" s="48"/>
      <c r="AB89" s="48"/>
      <c r="AC89" s="48"/>
      <c r="AD89" s="48"/>
      <c r="AE89" s="8"/>
      <c r="AF89" s="8"/>
      <c r="AG89" s="12"/>
      <c r="AI89" s="7"/>
      <c r="AJ89" s="8"/>
      <c r="AK89" s="48"/>
      <c r="AL89" s="48"/>
      <c r="AM89" s="48"/>
      <c r="AN89" s="48"/>
      <c r="AO89" s="48"/>
      <c r="AP89" s="48"/>
      <c r="AQ89" s="8"/>
      <c r="AR89" s="12"/>
      <c r="AT89" s="7"/>
      <c r="AU89" s="8"/>
      <c r="AV89" s="48"/>
      <c r="AW89" s="48"/>
      <c r="AX89" s="48"/>
      <c r="AY89" s="48"/>
      <c r="AZ89" s="48"/>
      <c r="BA89" s="48"/>
      <c r="BB89" s="8"/>
      <c r="BC89" s="12"/>
      <c r="BE89" s="7"/>
      <c r="BF89" s="8"/>
      <c r="BG89" s="92"/>
      <c r="BH89" s="93"/>
      <c r="BI89" s="93"/>
      <c r="BJ89" s="94"/>
      <c r="BK89" s="48"/>
      <c r="BL89" s="48"/>
      <c r="BM89" s="8"/>
      <c r="BN89" s="12"/>
    </row>
    <row r="90" spans="12:66" ht="15" customHeight="1" thickBot="1" x14ac:dyDescent="0.35">
      <c r="L90" s="9"/>
      <c r="M90" s="49"/>
      <c r="N90" s="49"/>
      <c r="O90" s="49"/>
      <c r="P90" s="49"/>
      <c r="Q90" s="49"/>
      <c r="R90" s="49"/>
      <c r="S90" s="49"/>
      <c r="T90" s="49"/>
      <c r="U90" s="13"/>
      <c r="X90" s="9"/>
      <c r="Y90" s="10"/>
      <c r="Z90" s="10"/>
      <c r="AA90" s="49"/>
      <c r="AB90" s="49"/>
      <c r="AC90" s="49"/>
      <c r="AD90" s="49"/>
      <c r="AE90" s="10"/>
      <c r="AF90" s="10"/>
      <c r="AG90" s="13"/>
      <c r="AI90" s="9"/>
      <c r="AJ90" s="10"/>
      <c r="AK90" s="49"/>
      <c r="AL90" s="49"/>
      <c r="AM90" s="49"/>
      <c r="AN90" s="49"/>
      <c r="AO90" s="49"/>
      <c r="AP90" s="49"/>
      <c r="AQ90" s="10"/>
      <c r="AR90" s="13"/>
      <c r="AT90" s="9"/>
      <c r="AU90" s="10"/>
      <c r="AV90" s="49"/>
      <c r="AW90" s="49"/>
      <c r="AX90" s="49"/>
      <c r="AY90" s="49"/>
      <c r="AZ90" s="49"/>
      <c r="BA90" s="49"/>
      <c r="BB90" s="10"/>
      <c r="BC90" s="13"/>
      <c r="BE90" s="9"/>
      <c r="BF90" s="10"/>
      <c r="BG90" s="92"/>
      <c r="BH90" s="93"/>
      <c r="BI90" s="94"/>
      <c r="BJ90" s="49"/>
      <c r="BK90" s="49"/>
      <c r="BL90" s="96"/>
      <c r="BM90" s="10"/>
      <c r="BN90" s="13"/>
    </row>
    <row r="91" spans="12:66" ht="15" customHeight="1" thickBot="1" x14ac:dyDescent="0.35">
      <c r="L91" s="1" t="s">
        <v>40</v>
      </c>
      <c r="X91" s="1" t="s">
        <v>41</v>
      </c>
      <c r="AI91" s="1" t="s">
        <v>42</v>
      </c>
      <c r="AT91" s="1" t="s">
        <v>43</v>
      </c>
      <c r="BE91" s="1" t="s">
        <v>44</v>
      </c>
    </row>
    <row r="92" spans="12:66" ht="15" customHeight="1" x14ac:dyDescent="0.3">
      <c r="L92" s="5"/>
      <c r="M92" s="6"/>
      <c r="N92" s="6"/>
      <c r="O92" s="6"/>
      <c r="P92" s="47"/>
      <c r="Q92" s="47"/>
      <c r="R92" s="6"/>
      <c r="S92" s="6"/>
      <c r="T92" s="6"/>
      <c r="U92" s="11"/>
      <c r="X92" s="5"/>
      <c r="Y92" s="6"/>
      <c r="Z92" s="5"/>
      <c r="AA92" s="6"/>
      <c r="AB92" s="11"/>
      <c r="AC92" s="6"/>
      <c r="AD92" s="6"/>
      <c r="AE92" s="6"/>
      <c r="AF92" s="11"/>
      <c r="AG92" s="11"/>
      <c r="AI92" s="5"/>
      <c r="AJ92" s="6"/>
      <c r="AK92" s="6"/>
      <c r="AL92" s="6"/>
      <c r="AM92" s="6"/>
      <c r="AN92" s="6"/>
      <c r="AO92" s="6"/>
      <c r="AP92" s="6"/>
      <c r="AQ92" s="6"/>
      <c r="AR92" s="11"/>
      <c r="AT92" s="5"/>
      <c r="AU92" s="6"/>
      <c r="AV92" s="5"/>
      <c r="AW92" s="6"/>
      <c r="AX92" s="11"/>
      <c r="AY92" s="6"/>
      <c r="AZ92" s="6"/>
      <c r="BA92" s="6"/>
      <c r="BB92" s="11"/>
      <c r="BC92" s="11"/>
      <c r="BE92" s="5"/>
      <c r="BF92" s="6"/>
      <c r="BG92" s="6"/>
      <c r="BH92" s="47"/>
      <c r="BI92" s="47"/>
      <c r="BJ92" s="47"/>
      <c r="BK92" s="47"/>
      <c r="BL92" s="6"/>
      <c r="BM92" s="6"/>
      <c r="BN92" s="11"/>
    </row>
    <row r="93" spans="12:66" ht="15" customHeight="1" x14ac:dyDescent="0.3">
      <c r="L93" s="7"/>
      <c r="M93" s="8"/>
      <c r="N93" s="8"/>
      <c r="O93" s="8"/>
      <c r="P93" s="48"/>
      <c r="Q93" s="48"/>
      <c r="R93" s="8"/>
      <c r="S93" s="8"/>
      <c r="T93" s="8"/>
      <c r="U93" s="12"/>
      <c r="X93" s="7"/>
      <c r="Y93" s="8"/>
      <c r="Z93" s="7"/>
      <c r="AA93" s="8"/>
      <c r="AB93" s="12"/>
      <c r="AC93" s="8"/>
      <c r="AD93" s="8"/>
      <c r="AE93" s="8"/>
      <c r="AF93" s="12"/>
      <c r="AG93" s="12"/>
      <c r="AI93" s="7"/>
      <c r="AJ93" s="8"/>
      <c r="AK93" s="8"/>
      <c r="AL93" s="8"/>
      <c r="AM93" s="8"/>
      <c r="AN93" s="8"/>
      <c r="AO93" s="8"/>
      <c r="AP93" s="8"/>
      <c r="AQ93" s="8"/>
      <c r="AR93" s="12"/>
      <c r="AT93" s="7"/>
      <c r="AU93" s="8"/>
      <c r="AV93" s="7"/>
      <c r="AW93" s="8"/>
      <c r="AX93" s="12"/>
      <c r="AY93" s="8"/>
      <c r="AZ93" s="8"/>
      <c r="BA93" s="8"/>
      <c r="BB93" s="12"/>
      <c r="BC93" s="12"/>
      <c r="BE93" s="7"/>
      <c r="BF93" s="8"/>
      <c r="BG93" s="8"/>
      <c r="BH93" s="48"/>
      <c r="BI93" s="48"/>
      <c r="BJ93" s="48"/>
      <c r="BK93" s="48"/>
      <c r="BL93" s="8"/>
      <c r="BM93" s="8"/>
      <c r="BN93" s="12"/>
    </row>
    <row r="94" spans="12:66" ht="15" customHeight="1" x14ac:dyDescent="0.3">
      <c r="L94" s="7"/>
      <c r="M94" s="8"/>
      <c r="N94" s="8"/>
      <c r="O94" s="8"/>
      <c r="P94" s="48"/>
      <c r="Q94" s="48"/>
      <c r="R94" s="8"/>
      <c r="S94" s="8"/>
      <c r="T94" s="8"/>
      <c r="U94" s="12"/>
      <c r="X94" s="7"/>
      <c r="Y94" s="8"/>
      <c r="Z94" s="7"/>
      <c r="AA94" s="8"/>
      <c r="AB94" s="12"/>
      <c r="AC94" s="8"/>
      <c r="AD94" s="8"/>
      <c r="AE94" s="8"/>
      <c r="AF94" s="8"/>
      <c r="AG94" s="12"/>
      <c r="AI94" s="7"/>
      <c r="AJ94" s="8"/>
      <c r="AK94" s="8"/>
      <c r="AL94" s="8"/>
      <c r="AM94" s="8"/>
      <c r="AN94" s="8"/>
      <c r="AO94" s="8"/>
      <c r="AP94" s="8"/>
      <c r="AQ94" s="8"/>
      <c r="AR94" s="12"/>
      <c r="AT94" s="7"/>
      <c r="AU94" s="8"/>
      <c r="AV94" s="7"/>
      <c r="AW94" s="8"/>
      <c r="AX94" s="12"/>
      <c r="AY94" s="8"/>
      <c r="AZ94" s="8"/>
      <c r="BA94" s="8"/>
      <c r="BB94" s="8"/>
      <c r="BC94" s="12"/>
      <c r="BE94" s="7"/>
      <c r="BF94" s="8"/>
      <c r="BG94" s="8"/>
      <c r="BH94" s="48"/>
      <c r="BI94" s="48"/>
      <c r="BJ94" s="8"/>
      <c r="BK94" s="48"/>
      <c r="BL94" s="8"/>
      <c r="BM94" s="8"/>
      <c r="BN94" s="12"/>
    </row>
    <row r="95" spans="12:66" ht="15" customHeight="1" thickBot="1" x14ac:dyDescent="0.35">
      <c r="L95" s="7"/>
      <c r="M95" s="8"/>
      <c r="N95" s="8"/>
      <c r="O95" s="8"/>
      <c r="P95" s="48"/>
      <c r="Q95" s="48"/>
      <c r="R95" s="8"/>
      <c r="S95" s="8"/>
      <c r="T95" s="8"/>
      <c r="U95" s="12"/>
      <c r="X95" s="7"/>
      <c r="Y95" s="8"/>
      <c r="Z95" s="9"/>
      <c r="AA95" s="10"/>
      <c r="AB95" s="13"/>
      <c r="AC95" s="8"/>
      <c r="AD95" s="8"/>
      <c r="AE95" s="48"/>
      <c r="AF95" s="48"/>
      <c r="AG95" s="103"/>
      <c r="AI95" s="7"/>
      <c r="AJ95" s="8"/>
      <c r="AK95" s="8"/>
      <c r="AL95" s="8"/>
      <c r="AM95" s="8"/>
      <c r="AN95" s="8"/>
      <c r="AO95" s="8"/>
      <c r="AP95" s="8"/>
      <c r="AQ95" s="8"/>
      <c r="AR95" s="103"/>
      <c r="AT95" s="7"/>
      <c r="AU95" s="8"/>
      <c r="AV95" s="9"/>
      <c r="AW95" s="10"/>
      <c r="AX95" s="13"/>
      <c r="AY95" s="8"/>
      <c r="AZ95" s="8"/>
      <c r="BA95" s="48"/>
      <c r="BB95" s="48"/>
      <c r="BC95" s="53"/>
      <c r="BE95" s="7"/>
      <c r="BF95" s="8"/>
      <c r="BG95" s="8"/>
      <c r="BH95" s="48"/>
      <c r="BI95" s="48"/>
      <c r="BJ95" s="48"/>
      <c r="BK95" s="48"/>
      <c r="BL95" s="8"/>
      <c r="BM95" s="8"/>
      <c r="BN95" s="12"/>
    </row>
    <row r="96" spans="12:66" ht="15" customHeight="1" x14ac:dyDescent="0.3">
      <c r="L96" s="7"/>
      <c r="M96" s="8"/>
      <c r="N96" s="8"/>
      <c r="O96" s="8"/>
      <c r="P96" s="48"/>
      <c r="Q96" s="48"/>
      <c r="R96" s="8"/>
      <c r="S96" s="8"/>
      <c r="T96" s="8"/>
      <c r="U96" s="12"/>
      <c r="X96" s="7"/>
      <c r="Y96" s="8"/>
      <c r="Z96" s="8"/>
      <c r="AA96" s="8"/>
      <c r="AB96" s="8"/>
      <c r="AC96" s="48"/>
      <c r="AD96" s="48"/>
      <c r="AE96" s="48"/>
      <c r="AF96" s="48"/>
      <c r="AG96" s="103"/>
      <c r="AI96" s="7"/>
      <c r="AJ96" s="8"/>
      <c r="AK96" s="8"/>
      <c r="AL96" s="8"/>
      <c r="AM96" s="8"/>
      <c r="AN96" s="8"/>
      <c r="AO96" s="48"/>
      <c r="AP96" s="48"/>
      <c r="AQ96" s="48"/>
      <c r="AR96" s="103"/>
      <c r="AT96" s="7"/>
      <c r="AU96" s="8"/>
      <c r="AV96" s="8"/>
      <c r="AW96" s="8"/>
      <c r="AX96" s="8"/>
      <c r="AY96" s="48"/>
      <c r="AZ96" s="48"/>
      <c r="BA96" s="48"/>
      <c r="BB96" s="48"/>
      <c r="BC96" s="53"/>
      <c r="BE96" s="7"/>
      <c r="BF96" s="8"/>
      <c r="BG96" s="8"/>
      <c r="BH96" s="48"/>
      <c r="BI96" s="48"/>
      <c r="BJ96" s="48"/>
      <c r="BK96" s="48"/>
      <c r="BL96" s="8"/>
      <c r="BM96" s="8"/>
      <c r="BN96" s="12"/>
    </row>
    <row r="97" spans="12:66" ht="15" customHeight="1" x14ac:dyDescent="0.3">
      <c r="L97" s="7"/>
      <c r="M97" s="8"/>
      <c r="N97" s="8"/>
      <c r="O97" s="8"/>
      <c r="P97" s="48"/>
      <c r="Q97" s="48"/>
      <c r="R97" s="8"/>
      <c r="S97" s="8"/>
      <c r="T97" s="8"/>
      <c r="U97" s="12"/>
      <c r="X97" s="7"/>
      <c r="Y97" s="8"/>
      <c r="Z97" s="8"/>
      <c r="AA97" s="8"/>
      <c r="AB97" s="48"/>
      <c r="AC97" s="48"/>
      <c r="AD97" s="48"/>
      <c r="AE97" s="48"/>
      <c r="AF97" s="48"/>
      <c r="AG97" s="103"/>
      <c r="AI97" s="7"/>
      <c r="AJ97" s="8"/>
      <c r="AK97" s="8"/>
      <c r="AL97" s="8"/>
      <c r="AM97" s="8"/>
      <c r="AN97" s="48"/>
      <c r="AO97" s="48"/>
      <c r="AP97" s="48"/>
      <c r="AQ97" s="48"/>
      <c r="AR97" s="103"/>
      <c r="AT97" s="7"/>
      <c r="AU97" s="8"/>
      <c r="AV97" s="8"/>
      <c r="AW97" s="8"/>
      <c r="AX97" s="48"/>
      <c r="AY97" s="48"/>
      <c r="AZ97" s="48"/>
      <c r="BA97" s="48"/>
      <c r="BB97" s="48"/>
      <c r="BC97" s="53"/>
      <c r="BE97" s="7"/>
      <c r="BF97" s="8"/>
      <c r="BG97" s="8"/>
      <c r="BH97" s="48"/>
      <c r="BI97" s="48"/>
      <c r="BJ97" s="48"/>
      <c r="BK97" s="48"/>
      <c r="BL97" s="8"/>
      <c r="BM97" s="8"/>
      <c r="BN97" s="12"/>
    </row>
    <row r="98" spans="12:66" ht="15" customHeight="1" x14ac:dyDescent="0.3">
      <c r="L98" s="7"/>
      <c r="M98" s="8"/>
      <c r="N98" s="8"/>
      <c r="O98" s="8"/>
      <c r="P98" s="48"/>
      <c r="Q98" s="48"/>
      <c r="R98" s="8"/>
      <c r="S98" s="8"/>
      <c r="T98" s="8"/>
      <c r="U98" s="12"/>
      <c r="X98" s="7"/>
      <c r="Y98" s="8"/>
      <c r="Z98" s="8"/>
      <c r="AA98" s="8"/>
      <c r="AB98" s="48"/>
      <c r="AC98" s="48"/>
      <c r="AD98" s="48"/>
      <c r="AE98" s="48"/>
      <c r="AF98" s="48"/>
      <c r="AG98" s="103"/>
      <c r="AI98" s="7"/>
      <c r="AJ98" s="8"/>
      <c r="AK98" s="8"/>
      <c r="AL98" s="8"/>
      <c r="AM98" s="48"/>
      <c r="AN98" s="48"/>
      <c r="AO98" s="8"/>
      <c r="AP98" s="8"/>
      <c r="AQ98" s="8"/>
      <c r="AR98" s="103"/>
      <c r="AT98" s="7"/>
      <c r="AU98" s="8"/>
      <c r="AV98" s="8"/>
      <c r="AW98" s="8"/>
      <c r="AX98" s="48"/>
      <c r="AY98" s="48"/>
      <c r="AZ98" s="48"/>
      <c r="BA98" s="48"/>
      <c r="BB98" s="48"/>
      <c r="BC98" s="53"/>
      <c r="BE98" s="7"/>
      <c r="BF98" s="8"/>
      <c r="BG98" s="8"/>
      <c r="BH98" s="48"/>
      <c r="BI98" s="48"/>
      <c r="BJ98" s="48"/>
      <c r="BK98" s="48"/>
      <c r="BL98" s="8"/>
      <c r="BM98" s="8"/>
      <c r="BN98" s="12"/>
    </row>
    <row r="99" spans="12:66" ht="15" customHeight="1" x14ac:dyDescent="0.3">
      <c r="L99" s="7"/>
      <c r="M99" s="8"/>
      <c r="N99" s="8"/>
      <c r="O99" s="8"/>
      <c r="P99" s="48"/>
      <c r="Q99" s="48"/>
      <c r="R99" s="8"/>
      <c r="S99" s="8"/>
      <c r="T99" s="8"/>
      <c r="U99" s="12"/>
      <c r="X99" s="7"/>
      <c r="Y99" s="8"/>
      <c r="Z99" s="8"/>
      <c r="AA99" s="48"/>
      <c r="AB99" s="48"/>
      <c r="AC99" s="48"/>
      <c r="AD99" s="48"/>
      <c r="AE99" s="48"/>
      <c r="AF99" s="8"/>
      <c r="AG99" s="103"/>
      <c r="AI99" s="7"/>
      <c r="AJ99" s="8"/>
      <c r="AK99" s="8"/>
      <c r="AL99" s="8"/>
      <c r="AM99" s="48"/>
      <c r="AN99" s="48"/>
      <c r="AO99" s="8"/>
      <c r="AP99" s="8"/>
      <c r="AQ99" s="8"/>
      <c r="AR99" s="103"/>
      <c r="AT99" s="7"/>
      <c r="AU99" s="8"/>
      <c r="AV99" s="8"/>
      <c r="AW99" s="48"/>
      <c r="AX99" s="48"/>
      <c r="AY99" s="48"/>
      <c r="AZ99" s="48"/>
      <c r="BA99" s="48"/>
      <c r="BB99" s="8"/>
      <c r="BC99" s="12"/>
      <c r="BE99" s="7"/>
      <c r="BF99" s="8"/>
      <c r="BG99" s="8"/>
      <c r="BH99" s="8"/>
      <c r="BI99" s="48"/>
      <c r="BJ99" s="48"/>
      <c r="BK99" s="48"/>
      <c r="BL99" s="8"/>
      <c r="BM99" s="8"/>
      <c r="BN99" s="12"/>
    </row>
    <row r="100" spans="12:66" ht="15" customHeight="1" x14ac:dyDescent="0.3">
      <c r="L100" s="7"/>
      <c r="M100" s="8"/>
      <c r="N100" s="8"/>
      <c r="O100" s="8"/>
      <c r="P100" s="48"/>
      <c r="Q100" s="48"/>
      <c r="R100" s="8"/>
      <c r="S100" s="8"/>
      <c r="T100" s="8"/>
      <c r="U100" s="12"/>
      <c r="X100" s="7"/>
      <c r="Y100" s="8"/>
      <c r="Z100" s="8"/>
      <c r="AA100" s="48"/>
      <c r="AB100" s="48"/>
      <c r="AC100" s="48"/>
      <c r="AD100" s="48"/>
      <c r="AE100" s="8"/>
      <c r="AF100" s="79"/>
      <c r="AG100" s="80"/>
      <c r="AI100" s="7"/>
      <c r="AJ100" s="8"/>
      <c r="AK100" s="8"/>
      <c r="AL100" s="8"/>
      <c r="AM100" s="48"/>
      <c r="AN100" s="48"/>
      <c r="AO100" s="8"/>
      <c r="AP100" s="8"/>
      <c r="AQ100" s="79"/>
      <c r="AR100" s="80"/>
      <c r="AT100" s="7"/>
      <c r="AU100" s="8"/>
      <c r="AV100" s="8"/>
      <c r="AW100" s="48"/>
      <c r="AX100" s="48"/>
      <c r="AY100" s="48"/>
      <c r="AZ100" s="48"/>
      <c r="BA100" s="8"/>
      <c r="BB100" s="8"/>
      <c r="BC100" s="12"/>
      <c r="BE100" s="7"/>
      <c r="BF100" s="8"/>
      <c r="BG100" s="8"/>
      <c r="BH100" s="48"/>
      <c r="BI100" s="48"/>
      <c r="BJ100" s="48"/>
      <c r="BK100" s="48"/>
      <c r="BL100" s="8"/>
      <c r="BM100" s="8"/>
      <c r="BN100" s="12"/>
    </row>
    <row r="101" spans="12:66" ht="15" customHeight="1" thickBot="1" x14ac:dyDescent="0.35">
      <c r="L101" s="9"/>
      <c r="M101" s="10"/>
      <c r="N101" s="10"/>
      <c r="O101" s="10"/>
      <c r="P101" s="49"/>
      <c r="Q101" s="49"/>
      <c r="R101" s="10"/>
      <c r="S101" s="10"/>
      <c r="T101" s="10"/>
      <c r="U101" s="13"/>
      <c r="X101" s="9"/>
      <c r="Y101" s="10"/>
      <c r="Z101" s="10"/>
      <c r="AA101" s="44"/>
      <c r="AB101" s="44"/>
      <c r="AC101" s="44"/>
      <c r="AD101" s="44"/>
      <c r="AE101" s="44"/>
      <c r="AF101" s="81"/>
      <c r="AG101" s="82"/>
      <c r="AI101" s="9"/>
      <c r="AJ101" s="10"/>
      <c r="AK101" s="10"/>
      <c r="AL101" s="104"/>
      <c r="AM101" s="44"/>
      <c r="AN101" s="44"/>
      <c r="AO101" s="44"/>
      <c r="AP101" s="44"/>
      <c r="AQ101" s="81"/>
      <c r="AR101" s="82"/>
      <c r="AT101" s="9"/>
      <c r="AU101" s="10"/>
      <c r="AV101" s="10"/>
      <c r="AW101" s="49"/>
      <c r="AX101" s="49"/>
      <c r="AY101" s="49"/>
      <c r="AZ101" s="49"/>
      <c r="BA101" s="10"/>
      <c r="BB101" s="13"/>
      <c r="BC101" s="13"/>
      <c r="BE101" s="9"/>
      <c r="BF101" s="10"/>
      <c r="BG101" s="10"/>
      <c r="BH101" s="49"/>
      <c r="BI101" s="49"/>
      <c r="BJ101" s="49"/>
      <c r="BK101" s="49"/>
      <c r="BL101" s="10"/>
      <c r="BM101" s="10"/>
      <c r="BN101" s="13"/>
    </row>
    <row r="102" spans="12:66" ht="15" customHeight="1" thickBot="1" x14ac:dyDescent="0.35">
      <c r="L102" s="1" t="s">
        <v>45</v>
      </c>
      <c r="X102" s="1" t="s">
        <v>46</v>
      </c>
      <c r="AI102" s="1" t="s">
        <v>47</v>
      </c>
      <c r="AT102" s="1" t="s">
        <v>48</v>
      </c>
      <c r="AU102" s="1" t="s">
        <v>90</v>
      </c>
      <c r="BE102" s="1" t="s">
        <v>49</v>
      </c>
      <c r="BF102" s="1" t="s">
        <v>91</v>
      </c>
    </row>
    <row r="103" spans="12:66" ht="15" customHeight="1" x14ac:dyDescent="0.3">
      <c r="L103" s="5"/>
      <c r="M103" s="6"/>
      <c r="N103" s="6"/>
      <c r="O103" s="47"/>
      <c r="P103" s="47"/>
      <c r="Q103" s="47"/>
      <c r="R103" s="47"/>
      <c r="S103" s="6"/>
      <c r="T103" s="6"/>
      <c r="U103" s="11"/>
      <c r="X103" s="5"/>
      <c r="Y103" s="6"/>
      <c r="Z103" s="6"/>
      <c r="AA103" s="47"/>
      <c r="AB103" s="47"/>
      <c r="AC103" s="47"/>
      <c r="AD103" s="47"/>
      <c r="AE103" s="6"/>
      <c r="AF103" s="6"/>
      <c r="AG103" s="11"/>
      <c r="AI103" s="5"/>
      <c r="AJ103" s="47"/>
      <c r="AK103" s="47"/>
      <c r="AL103" s="47"/>
      <c r="AM103" s="47"/>
      <c r="AN103" s="47"/>
      <c r="AO103" s="47"/>
      <c r="AP103" s="47"/>
      <c r="AQ103" s="47"/>
      <c r="AR103" s="11"/>
      <c r="AT103" s="5"/>
      <c r="AU103" s="6"/>
      <c r="AV103" s="39"/>
      <c r="AW103" s="47"/>
      <c r="AX103" s="47"/>
      <c r="AY103" s="47"/>
      <c r="AZ103" s="47"/>
      <c r="BA103" s="47"/>
      <c r="BB103" s="6"/>
      <c r="BC103" s="11"/>
      <c r="BE103" s="5"/>
      <c r="BF103" s="6"/>
      <c r="BG103" s="39"/>
      <c r="BH103" s="47"/>
      <c r="BI103" s="47"/>
      <c r="BJ103" s="39"/>
      <c r="BK103" s="47"/>
      <c r="BL103" s="47"/>
      <c r="BM103" s="6"/>
      <c r="BN103" s="11"/>
    </row>
    <row r="104" spans="12:66" ht="15" customHeight="1" x14ac:dyDescent="0.3">
      <c r="L104" s="7"/>
      <c r="M104" s="8"/>
      <c r="N104" s="8"/>
      <c r="O104" s="48"/>
      <c r="P104" s="48"/>
      <c r="Q104" s="48"/>
      <c r="R104" s="48"/>
      <c r="S104" s="8"/>
      <c r="T104" s="8"/>
      <c r="U104" s="12"/>
      <c r="X104" s="7"/>
      <c r="Y104" s="8"/>
      <c r="Z104" s="8"/>
      <c r="AA104" s="48"/>
      <c r="AB104" s="48"/>
      <c r="AC104" s="48"/>
      <c r="AD104" s="48"/>
      <c r="AE104" s="8"/>
      <c r="AF104" s="8"/>
      <c r="AG104" s="12"/>
      <c r="AI104" s="7"/>
      <c r="AJ104" s="102"/>
      <c r="AK104" s="48"/>
      <c r="AL104" s="48"/>
      <c r="AM104" s="48"/>
      <c r="AN104" s="48"/>
      <c r="AO104" s="48"/>
      <c r="AP104" s="48"/>
      <c r="AQ104" s="15"/>
      <c r="AR104" s="12"/>
      <c r="AT104" s="7"/>
      <c r="AU104" s="8"/>
      <c r="AV104" s="57"/>
      <c r="AW104" s="48"/>
      <c r="AX104" s="48"/>
      <c r="AY104" s="48"/>
      <c r="AZ104" s="48"/>
      <c r="BA104" s="48"/>
      <c r="BB104" s="8"/>
      <c r="BC104" s="12"/>
      <c r="BE104" s="7"/>
      <c r="BF104" s="8"/>
      <c r="BG104" s="57"/>
      <c r="BH104" s="48"/>
      <c r="BI104" s="48"/>
      <c r="BJ104" s="57"/>
      <c r="BK104" s="48"/>
      <c r="BL104" s="48"/>
      <c r="BM104" s="8"/>
      <c r="BN104" s="12"/>
    </row>
    <row r="105" spans="12:66" ht="15" customHeight="1" x14ac:dyDescent="0.3">
      <c r="L105" s="7"/>
      <c r="M105" s="8"/>
      <c r="N105" s="8"/>
      <c r="O105" s="48"/>
      <c r="P105" s="48"/>
      <c r="Q105" s="48"/>
      <c r="R105" s="48"/>
      <c r="S105" s="8"/>
      <c r="T105" s="8"/>
      <c r="U105" s="12"/>
      <c r="X105" s="7"/>
      <c r="Y105" s="8"/>
      <c r="Z105" s="8"/>
      <c r="AA105" s="48"/>
      <c r="AB105" s="48"/>
      <c r="AC105" s="48"/>
      <c r="AD105" s="48"/>
      <c r="AE105" s="8"/>
      <c r="AF105" s="8"/>
      <c r="AG105" s="12"/>
      <c r="AI105" s="7"/>
      <c r="AJ105" s="48"/>
      <c r="AK105" s="102"/>
      <c r="AL105" s="48"/>
      <c r="AM105" s="48"/>
      <c r="AN105" s="48"/>
      <c r="AO105" s="48"/>
      <c r="AP105" s="15"/>
      <c r="AQ105" s="48"/>
      <c r="AR105" s="12"/>
      <c r="AT105" s="7"/>
      <c r="AU105" s="8"/>
      <c r="AV105" s="15"/>
      <c r="AW105" s="48"/>
      <c r="AX105" s="48"/>
      <c r="AY105" s="48"/>
      <c r="AZ105" s="48"/>
      <c r="BA105" s="48"/>
      <c r="BB105" s="8"/>
      <c r="BC105" s="12"/>
      <c r="BE105" s="7"/>
      <c r="BF105" s="8"/>
      <c r="BG105" s="15"/>
      <c r="BH105" s="48"/>
      <c r="BI105" s="48"/>
      <c r="BJ105" s="15"/>
      <c r="BK105" s="48"/>
      <c r="BL105" s="48"/>
      <c r="BM105" s="8"/>
      <c r="BN105" s="12"/>
    </row>
    <row r="106" spans="12:66" ht="15" customHeight="1" x14ac:dyDescent="0.3">
      <c r="L106" s="7"/>
      <c r="M106" s="8"/>
      <c r="N106" s="8"/>
      <c r="O106" s="8"/>
      <c r="P106" s="108"/>
      <c r="Q106" s="48"/>
      <c r="R106" s="48"/>
      <c r="S106" s="8"/>
      <c r="T106" s="8"/>
      <c r="U106" s="12"/>
      <c r="X106" s="7"/>
      <c r="Y106" s="8"/>
      <c r="Z106" s="8"/>
      <c r="AA106" s="8"/>
      <c r="AB106" s="108"/>
      <c r="AC106" s="48"/>
      <c r="AD106" s="48"/>
      <c r="AE106" s="8"/>
      <c r="AF106" s="8"/>
      <c r="AG106" s="12"/>
      <c r="AI106" s="7"/>
      <c r="AJ106" s="48"/>
      <c r="AK106" s="48"/>
      <c r="AL106" s="102"/>
      <c r="AM106" s="48"/>
      <c r="AN106" s="48"/>
      <c r="AO106" s="15"/>
      <c r="AP106" s="48"/>
      <c r="AQ106" s="48"/>
      <c r="AR106" s="12"/>
      <c r="AT106" s="7"/>
      <c r="AU106" s="8"/>
      <c r="AV106" s="15"/>
      <c r="AW106" s="48"/>
      <c r="AX106" s="48"/>
      <c r="AY106" s="48"/>
      <c r="AZ106" s="48"/>
      <c r="BA106" s="48"/>
      <c r="BB106" s="8"/>
      <c r="BC106" s="12"/>
      <c r="BE106" s="7"/>
      <c r="BF106" s="8"/>
      <c r="BG106" s="15"/>
      <c r="BH106" s="48"/>
      <c r="BI106" s="48"/>
      <c r="BJ106" s="15"/>
      <c r="BK106" s="48"/>
      <c r="BL106" s="48"/>
      <c r="BM106" s="8"/>
      <c r="BN106" s="12"/>
    </row>
    <row r="107" spans="12:66" ht="15" customHeight="1" x14ac:dyDescent="0.3">
      <c r="L107" s="7"/>
      <c r="M107" s="8"/>
      <c r="N107" s="8"/>
      <c r="O107" s="107"/>
      <c r="P107" s="76"/>
      <c r="Q107" s="48"/>
      <c r="R107" s="48"/>
      <c r="S107" s="8"/>
      <c r="T107" s="8"/>
      <c r="U107" s="12"/>
      <c r="X107" s="7"/>
      <c r="Y107" s="8"/>
      <c r="Z107" s="8"/>
      <c r="AA107" s="107"/>
      <c r="AB107" s="76"/>
      <c r="AC107" s="48"/>
      <c r="AD107" s="48"/>
      <c r="AE107" s="8"/>
      <c r="AF107" s="8"/>
      <c r="AG107" s="12"/>
      <c r="AI107" s="7"/>
      <c r="AJ107" s="48"/>
      <c r="AK107" s="48"/>
      <c r="AL107" s="48"/>
      <c r="AM107" s="79"/>
      <c r="AN107" s="79"/>
      <c r="AO107" s="48"/>
      <c r="AP107" s="48"/>
      <c r="AQ107" s="48"/>
      <c r="AR107" s="12"/>
      <c r="AT107" s="7"/>
      <c r="AU107" s="8"/>
      <c r="AV107" s="15"/>
      <c r="AW107" s="48"/>
      <c r="AX107" s="48"/>
      <c r="AY107" s="48"/>
      <c r="AZ107" s="48"/>
      <c r="BA107" s="48"/>
      <c r="BB107" s="8"/>
      <c r="BC107" s="12"/>
      <c r="BE107" s="7"/>
      <c r="BF107" s="8"/>
      <c r="BG107" s="15"/>
      <c r="BH107" s="48"/>
      <c r="BI107" s="48"/>
      <c r="BJ107" s="15"/>
      <c r="BK107" s="48"/>
      <c r="BL107" s="48"/>
      <c r="BM107" s="8"/>
      <c r="BN107" s="12"/>
    </row>
    <row r="108" spans="12:66" ht="15" customHeight="1" x14ac:dyDescent="0.3">
      <c r="L108" s="7"/>
      <c r="M108" s="8"/>
      <c r="N108" s="8"/>
      <c r="O108" s="48"/>
      <c r="P108" s="48"/>
      <c r="Q108" s="48"/>
      <c r="R108" s="48"/>
      <c r="S108" s="8"/>
      <c r="T108" s="8"/>
      <c r="U108" s="12"/>
      <c r="X108" s="7"/>
      <c r="Y108" s="8"/>
      <c r="Z108" s="8"/>
      <c r="AA108" s="48"/>
      <c r="AB108" s="48"/>
      <c r="AC108" s="48"/>
      <c r="AD108" s="48"/>
      <c r="AE108" s="8"/>
      <c r="AF108" s="8"/>
      <c r="AG108" s="12"/>
      <c r="AI108" s="7"/>
      <c r="AJ108" s="48"/>
      <c r="AK108" s="48"/>
      <c r="AL108" s="48"/>
      <c r="AM108" s="79"/>
      <c r="AN108" s="79"/>
      <c r="AO108" s="48"/>
      <c r="AP108" s="48"/>
      <c r="AQ108" s="48"/>
      <c r="AR108" s="12"/>
      <c r="AT108" s="7"/>
      <c r="AU108" s="8"/>
      <c r="AV108" s="15"/>
      <c r="AW108" s="48"/>
      <c r="AX108" s="48"/>
      <c r="AY108" s="48"/>
      <c r="AZ108" s="48"/>
      <c r="BA108" s="48"/>
      <c r="BB108" s="8"/>
      <c r="BC108" s="12"/>
      <c r="BE108" s="7"/>
      <c r="BF108" s="8"/>
      <c r="BG108" s="15"/>
      <c r="BH108" s="48"/>
      <c r="BI108" s="48"/>
      <c r="BJ108" s="15"/>
      <c r="BK108" s="48"/>
      <c r="BL108" s="48"/>
      <c r="BM108" s="8"/>
      <c r="BN108" s="12"/>
    </row>
    <row r="109" spans="12:66" ht="15" customHeight="1" x14ac:dyDescent="0.3">
      <c r="L109" s="7"/>
      <c r="M109" s="8"/>
      <c r="N109" s="8"/>
      <c r="O109" s="48"/>
      <c r="P109" s="48"/>
      <c r="Q109" s="48"/>
      <c r="R109" s="48"/>
      <c r="S109" s="8"/>
      <c r="T109" s="8"/>
      <c r="U109" s="12"/>
      <c r="X109" s="7"/>
      <c r="Y109" s="8"/>
      <c r="Z109" s="8"/>
      <c r="AA109" s="48"/>
      <c r="AB109" s="48"/>
      <c r="AC109" s="48"/>
      <c r="AD109" s="48"/>
      <c r="AE109" s="8"/>
      <c r="AF109" s="8"/>
      <c r="AG109" s="12"/>
      <c r="AI109" s="7"/>
      <c r="AJ109" s="48"/>
      <c r="AK109" s="48"/>
      <c r="AL109" s="15"/>
      <c r="AM109" s="48"/>
      <c r="AN109" s="48"/>
      <c r="AO109" s="102"/>
      <c r="AP109" s="48"/>
      <c r="AQ109" s="48"/>
      <c r="AR109" s="12"/>
      <c r="AT109" s="7"/>
      <c r="AU109" s="8"/>
      <c r="AV109" s="15"/>
      <c r="AW109" s="48"/>
      <c r="AX109" s="48"/>
      <c r="AY109" s="48"/>
      <c r="AZ109" s="48"/>
      <c r="BA109" s="48"/>
      <c r="BB109" s="8"/>
      <c r="BC109" s="12"/>
      <c r="BE109" s="7"/>
      <c r="BF109" s="8"/>
      <c r="BG109" s="15"/>
      <c r="BH109" s="48"/>
      <c r="BI109" s="48"/>
      <c r="BJ109" s="15"/>
      <c r="BK109" s="48"/>
      <c r="BL109" s="48"/>
      <c r="BM109" s="8"/>
      <c r="BN109" s="12"/>
    </row>
    <row r="110" spans="12:66" ht="15" customHeight="1" x14ac:dyDescent="0.3">
      <c r="L110" s="7"/>
      <c r="M110" s="8"/>
      <c r="N110" s="8"/>
      <c r="O110" s="48"/>
      <c r="P110" s="48"/>
      <c r="Q110" s="48"/>
      <c r="R110" s="48"/>
      <c r="S110" s="8"/>
      <c r="T110" s="8"/>
      <c r="U110" s="12"/>
      <c r="X110" s="7"/>
      <c r="Y110" s="8"/>
      <c r="Z110" s="8"/>
      <c r="AA110" s="48"/>
      <c r="AB110" s="48"/>
      <c r="AC110" s="8"/>
      <c r="AD110" s="108"/>
      <c r="AE110" s="8"/>
      <c r="AF110" s="8"/>
      <c r="AG110" s="12"/>
      <c r="AI110" s="7"/>
      <c r="AJ110" s="48"/>
      <c r="AK110" s="15"/>
      <c r="AL110" s="48"/>
      <c r="AM110" s="48"/>
      <c r="AN110" s="48"/>
      <c r="AO110" s="48"/>
      <c r="AP110" s="102"/>
      <c r="AQ110" s="48"/>
      <c r="AR110" s="12"/>
      <c r="AT110" s="7"/>
      <c r="AU110" s="8"/>
      <c r="AV110" s="15"/>
      <c r="AW110" s="48"/>
      <c r="AX110" s="48"/>
      <c r="AY110" s="48"/>
      <c r="AZ110" s="48"/>
      <c r="BA110" s="48"/>
      <c r="BB110" s="8"/>
      <c r="BC110" s="12"/>
      <c r="BE110" s="7"/>
      <c r="BF110" s="8"/>
      <c r="BG110" s="15"/>
      <c r="BH110" s="48"/>
      <c r="BI110" s="48"/>
      <c r="BJ110" s="15"/>
      <c r="BK110" s="48"/>
      <c r="BL110" s="48"/>
      <c r="BM110" s="8"/>
      <c r="BN110" s="12"/>
    </row>
    <row r="111" spans="12:66" ht="15" customHeight="1" x14ac:dyDescent="0.3">
      <c r="L111" s="7"/>
      <c r="M111" s="8"/>
      <c r="N111" s="8"/>
      <c r="O111" s="48"/>
      <c r="P111" s="48"/>
      <c r="Q111" s="48"/>
      <c r="R111" s="48"/>
      <c r="S111" s="8"/>
      <c r="T111" s="8"/>
      <c r="U111" s="12"/>
      <c r="X111" s="7"/>
      <c r="Y111" s="8"/>
      <c r="Z111" s="8"/>
      <c r="AA111" s="48"/>
      <c r="AB111" s="48"/>
      <c r="AC111" s="107"/>
      <c r="AD111" s="76"/>
      <c r="AE111" s="8"/>
      <c r="AF111" s="8"/>
      <c r="AG111" s="12"/>
      <c r="AI111" s="7"/>
      <c r="AJ111" s="15"/>
      <c r="AK111" s="48"/>
      <c r="AL111" s="48"/>
      <c r="AM111" s="48"/>
      <c r="AN111" s="48"/>
      <c r="AO111" s="48"/>
      <c r="AP111" s="48"/>
      <c r="AQ111" s="102"/>
      <c r="AR111" s="12"/>
      <c r="AT111" s="7"/>
      <c r="AU111" s="8"/>
      <c r="AV111" s="57"/>
      <c r="AW111" s="48"/>
      <c r="AX111" s="48"/>
      <c r="AY111" s="48"/>
      <c r="AZ111" s="48"/>
      <c r="BA111" s="48"/>
      <c r="BB111" s="8"/>
      <c r="BC111" s="12"/>
      <c r="BE111" s="7"/>
      <c r="BF111" s="8"/>
      <c r="BG111" s="57"/>
      <c r="BH111" s="48"/>
      <c r="BI111" s="48"/>
      <c r="BJ111" s="57"/>
      <c r="BK111" s="48"/>
      <c r="BL111" s="48"/>
      <c r="BM111" s="8"/>
      <c r="BN111" s="12"/>
    </row>
    <row r="112" spans="12:66" ht="15" customHeight="1" thickBot="1" x14ac:dyDescent="0.35">
      <c r="L112" s="9"/>
      <c r="M112" s="10"/>
      <c r="N112" s="10"/>
      <c r="O112" s="49"/>
      <c r="P112" s="49"/>
      <c r="Q112" s="49"/>
      <c r="R112" s="49"/>
      <c r="S112" s="10"/>
      <c r="T112" s="10"/>
      <c r="U112" s="13"/>
      <c r="X112" s="9"/>
      <c r="Y112" s="10"/>
      <c r="Z112" s="10"/>
      <c r="AA112" s="49"/>
      <c r="AB112" s="49"/>
      <c r="AC112" s="49"/>
      <c r="AD112" s="49"/>
      <c r="AE112" s="10"/>
      <c r="AF112" s="10"/>
      <c r="AG112" s="13"/>
      <c r="AI112" s="9"/>
      <c r="AJ112" s="49"/>
      <c r="AK112" s="49"/>
      <c r="AL112" s="49"/>
      <c r="AM112" s="49"/>
      <c r="AN112" s="49"/>
      <c r="AO112" s="49"/>
      <c r="AP112" s="49"/>
      <c r="AQ112" s="49"/>
      <c r="AR112" s="13"/>
      <c r="AT112" s="9"/>
      <c r="AU112" s="10"/>
      <c r="AV112" s="44"/>
      <c r="AW112" s="49"/>
      <c r="AX112" s="49"/>
      <c r="AY112" s="49"/>
      <c r="AZ112" s="49"/>
      <c r="BA112" s="49"/>
      <c r="BB112" s="10"/>
      <c r="BC112" s="13"/>
      <c r="BE112" s="9"/>
      <c r="BF112" s="10"/>
      <c r="BG112" s="44"/>
      <c r="BH112" s="49"/>
      <c r="BI112" s="49"/>
      <c r="BJ112" s="44"/>
      <c r="BK112" s="49"/>
      <c r="BL112" s="49"/>
      <c r="BM112" s="10"/>
      <c r="BN112" s="13"/>
    </row>
    <row r="113" spans="12:66" ht="15" customHeight="1" thickBot="1" x14ac:dyDescent="0.35">
      <c r="L113" s="1" t="s">
        <v>50</v>
      </c>
      <c r="M113" s="1" t="s">
        <v>92</v>
      </c>
      <c r="X113" s="1" t="s">
        <v>51</v>
      </c>
      <c r="Y113" s="1" t="s">
        <v>93</v>
      </c>
      <c r="AI113" s="1" t="s">
        <v>52</v>
      </c>
      <c r="AJ113" s="1" t="s">
        <v>94</v>
      </c>
      <c r="AT113" s="1" t="s">
        <v>53</v>
      </c>
      <c r="BE113" s="1" t="s">
        <v>54</v>
      </c>
    </row>
    <row r="114" spans="12:66" ht="15" customHeight="1" x14ac:dyDescent="0.3">
      <c r="L114" s="5"/>
      <c r="M114" s="6"/>
      <c r="N114" s="39"/>
      <c r="O114" s="47"/>
      <c r="P114" s="47"/>
      <c r="Q114" s="105"/>
      <c r="R114" s="47"/>
      <c r="S114" s="47"/>
      <c r="T114" s="6"/>
      <c r="U114" s="11"/>
      <c r="X114" s="5"/>
      <c r="Y114" s="6"/>
      <c r="Z114" s="39"/>
      <c r="AA114" s="74"/>
      <c r="AB114" s="39"/>
      <c r="AC114" s="39"/>
      <c r="AD114" s="74"/>
      <c r="AE114" s="39"/>
      <c r="AF114" s="6"/>
      <c r="AG114" s="11"/>
      <c r="AI114" s="5"/>
      <c r="AJ114" s="6"/>
      <c r="AK114" s="60"/>
      <c r="AL114" s="74"/>
      <c r="AM114" s="47"/>
      <c r="AN114" s="47"/>
      <c r="AO114" s="74"/>
      <c r="AP114" s="60"/>
      <c r="AQ114" s="6"/>
      <c r="AR114" s="11"/>
      <c r="AT114" s="5"/>
      <c r="AU114" s="6"/>
      <c r="AV114" s="6"/>
      <c r="AW114" s="6"/>
      <c r="AX114" s="6"/>
      <c r="AY114" s="6"/>
      <c r="AZ114" s="6"/>
      <c r="BA114" s="6"/>
      <c r="BB114" s="6"/>
      <c r="BC114" s="11"/>
      <c r="BE114" s="5"/>
      <c r="BF114" s="6"/>
      <c r="BG114" s="47"/>
      <c r="BH114" s="47"/>
      <c r="BI114" s="47"/>
      <c r="BJ114" s="47"/>
      <c r="BK114" s="47"/>
      <c r="BL114" s="47"/>
      <c r="BM114" s="6"/>
      <c r="BN114" s="11"/>
    </row>
    <row r="115" spans="12:66" ht="15" customHeight="1" thickBot="1" x14ac:dyDescent="0.35">
      <c r="L115" s="7"/>
      <c r="M115" s="8"/>
      <c r="N115" s="57"/>
      <c r="O115" s="48"/>
      <c r="P115" s="48"/>
      <c r="Q115" s="57"/>
      <c r="R115" s="48"/>
      <c r="S115" s="48"/>
      <c r="T115" s="8"/>
      <c r="U115" s="12"/>
      <c r="X115" s="7"/>
      <c r="Y115" s="8"/>
      <c r="Z115" s="48"/>
      <c r="AA115" s="48"/>
      <c r="AB115" s="48"/>
      <c r="AC115" s="48"/>
      <c r="AD115" s="48"/>
      <c r="AE115" s="48"/>
      <c r="AF115" s="8"/>
      <c r="AG115" s="12"/>
      <c r="AI115" s="7"/>
      <c r="AJ115" s="8"/>
      <c r="AK115" s="76"/>
      <c r="AL115" s="57"/>
      <c r="AM115" s="48"/>
      <c r="AN115" s="48"/>
      <c r="AO115" s="57"/>
      <c r="AP115" s="76"/>
      <c r="AQ115" s="8"/>
      <c r="AR115" s="12"/>
      <c r="AT115" s="7"/>
      <c r="AU115" s="8"/>
      <c r="AV115" s="8"/>
      <c r="AW115" s="8"/>
      <c r="AX115" s="8"/>
      <c r="AY115" s="8"/>
      <c r="AZ115" s="8"/>
      <c r="BA115" s="8"/>
      <c r="BB115" s="8"/>
      <c r="BC115" s="12"/>
      <c r="BE115" s="7"/>
      <c r="BF115" s="8"/>
      <c r="BG115" s="48"/>
      <c r="BH115" s="48"/>
      <c r="BI115" s="48"/>
      <c r="BJ115" s="48"/>
      <c r="BK115" s="48"/>
      <c r="BL115" s="48"/>
      <c r="BM115" s="8"/>
      <c r="BN115" s="12"/>
    </row>
    <row r="116" spans="12:66" ht="15" customHeight="1" thickBot="1" x14ac:dyDescent="0.35">
      <c r="L116" s="7"/>
      <c r="M116" s="8"/>
      <c r="N116" s="15"/>
      <c r="O116" s="48"/>
      <c r="P116" s="48"/>
      <c r="Q116" s="102"/>
      <c r="R116" s="48"/>
      <c r="S116" s="48"/>
      <c r="T116" s="8"/>
      <c r="U116" s="12"/>
      <c r="X116" s="7"/>
      <c r="Y116" s="8"/>
      <c r="Z116" s="48"/>
      <c r="AA116" s="48"/>
      <c r="AB116" s="48"/>
      <c r="AC116" s="48"/>
      <c r="AD116" s="48"/>
      <c r="AE116" s="48"/>
      <c r="AF116" s="8"/>
      <c r="AG116" s="12"/>
      <c r="AI116" s="7"/>
      <c r="AJ116" s="8"/>
      <c r="AK116" s="48"/>
      <c r="AL116" s="48"/>
      <c r="AM116" s="48"/>
      <c r="AN116" s="48"/>
      <c r="AO116" s="48"/>
      <c r="AP116" s="48"/>
      <c r="AQ116" s="8"/>
      <c r="AR116" s="12"/>
      <c r="AT116" s="7"/>
      <c r="AU116" s="8"/>
      <c r="AV116" s="8"/>
      <c r="AW116" s="8"/>
      <c r="AX116" s="8"/>
      <c r="AY116" s="8"/>
      <c r="AZ116" s="8"/>
      <c r="BA116" s="8"/>
      <c r="BB116" s="8"/>
      <c r="BC116" s="12"/>
      <c r="BE116" s="7"/>
      <c r="BF116" s="8"/>
      <c r="BG116" s="109"/>
      <c r="BH116" s="110"/>
      <c r="BI116" s="110"/>
      <c r="BJ116" s="110"/>
      <c r="BK116" s="110"/>
      <c r="BL116" s="111"/>
      <c r="BM116" s="8"/>
      <c r="BN116" s="12"/>
    </row>
    <row r="117" spans="12:66" ht="15" customHeight="1" x14ac:dyDescent="0.3">
      <c r="L117" s="7"/>
      <c r="M117" s="8"/>
      <c r="N117" s="15"/>
      <c r="O117" s="48"/>
      <c r="P117" s="48"/>
      <c r="Q117" s="102"/>
      <c r="R117" s="48"/>
      <c r="S117" s="48"/>
      <c r="T117" s="8"/>
      <c r="U117" s="12"/>
      <c r="X117" s="7"/>
      <c r="Y117" s="8"/>
      <c r="Z117" s="48"/>
      <c r="AA117" s="48"/>
      <c r="AB117" s="48"/>
      <c r="AC117" s="48"/>
      <c r="AD117" s="48"/>
      <c r="AE117" s="48"/>
      <c r="AF117" s="8"/>
      <c r="AG117" s="12"/>
      <c r="AI117" s="7"/>
      <c r="AJ117" s="8"/>
      <c r="AK117" s="48"/>
      <c r="AL117" s="48"/>
      <c r="AM117" s="48"/>
      <c r="AN117" s="48"/>
      <c r="AO117" s="48"/>
      <c r="AP117" s="48"/>
      <c r="AQ117" s="8"/>
      <c r="AR117" s="12"/>
      <c r="AT117" s="7"/>
      <c r="AU117" s="8"/>
      <c r="AV117" s="8"/>
      <c r="AW117" s="48"/>
      <c r="AX117" s="48"/>
      <c r="AY117" s="48"/>
      <c r="AZ117" s="48"/>
      <c r="BA117" s="8"/>
      <c r="BB117" s="8"/>
      <c r="BC117" s="12"/>
      <c r="BE117" s="7"/>
      <c r="BF117" s="8"/>
      <c r="BG117" s="48"/>
      <c r="BH117" s="48"/>
      <c r="BI117" s="48"/>
      <c r="BJ117" s="48"/>
      <c r="BK117" s="48"/>
      <c r="BL117" s="48"/>
      <c r="BM117" s="8"/>
      <c r="BN117" s="12"/>
    </row>
    <row r="118" spans="12:66" ht="15" customHeight="1" x14ac:dyDescent="0.3">
      <c r="L118" s="7"/>
      <c r="M118" s="8"/>
      <c r="N118" s="15"/>
      <c r="O118" s="48"/>
      <c r="P118" s="48"/>
      <c r="Q118" s="102"/>
      <c r="R118" s="48"/>
      <c r="S118" s="48"/>
      <c r="T118" s="8"/>
      <c r="U118" s="12"/>
      <c r="X118" s="7"/>
      <c r="Y118" s="8"/>
      <c r="Z118" s="48"/>
      <c r="AA118" s="48"/>
      <c r="AB118" s="48"/>
      <c r="AC118" s="48"/>
      <c r="AD118" s="48"/>
      <c r="AE118" s="48"/>
      <c r="AF118" s="8"/>
      <c r="AG118" s="12"/>
      <c r="AI118" s="7"/>
      <c r="AJ118" s="8"/>
      <c r="AK118" s="48"/>
      <c r="AL118" s="48"/>
      <c r="AM118" s="48"/>
      <c r="AN118" s="48"/>
      <c r="AO118" s="48"/>
      <c r="AP118" s="48"/>
      <c r="AQ118" s="8"/>
      <c r="AR118" s="12"/>
      <c r="AT118" s="7"/>
      <c r="AU118" s="8"/>
      <c r="AV118" s="8"/>
      <c r="AW118" s="48"/>
      <c r="AX118" s="48"/>
      <c r="AY118" s="48"/>
      <c r="AZ118" s="48"/>
      <c r="BA118" s="8"/>
      <c r="BB118" s="8"/>
      <c r="BC118" s="12"/>
      <c r="BE118" s="7"/>
      <c r="BF118" s="8"/>
      <c r="BG118" s="48"/>
      <c r="BH118" s="48"/>
      <c r="BI118" s="48"/>
      <c r="BJ118" s="48"/>
      <c r="BK118" s="48"/>
      <c r="BL118" s="48"/>
      <c r="BM118" s="8"/>
      <c r="BN118" s="12"/>
    </row>
    <row r="119" spans="12:66" ht="15" customHeight="1" x14ac:dyDescent="0.3">
      <c r="L119" s="7"/>
      <c r="M119" s="8"/>
      <c r="N119" s="15"/>
      <c r="O119" s="48"/>
      <c r="P119" s="48"/>
      <c r="Q119" s="102"/>
      <c r="R119" s="48"/>
      <c r="S119" s="48"/>
      <c r="T119" s="8"/>
      <c r="U119" s="12"/>
      <c r="X119" s="7"/>
      <c r="Y119" s="8"/>
      <c r="Z119" s="48"/>
      <c r="AA119" s="48"/>
      <c r="AB119" s="48"/>
      <c r="AC119" s="48"/>
      <c r="AD119" s="48"/>
      <c r="AE119" s="48"/>
      <c r="AF119" s="8"/>
      <c r="AG119" s="12"/>
      <c r="AI119" s="7"/>
      <c r="AJ119" s="8"/>
      <c r="AK119" s="48"/>
      <c r="AL119" s="48"/>
      <c r="AM119" s="48"/>
      <c r="AN119" s="48"/>
      <c r="AO119" s="48"/>
      <c r="AP119" s="48"/>
      <c r="AQ119" s="8"/>
      <c r="AR119" s="12"/>
      <c r="AT119" s="7"/>
      <c r="AU119" s="8"/>
      <c r="AV119" s="8"/>
      <c r="AW119" s="48"/>
      <c r="AX119" s="48"/>
      <c r="AY119" s="48"/>
      <c r="AZ119" s="48"/>
      <c r="BA119" s="8"/>
      <c r="BB119" s="8"/>
      <c r="BC119" s="12"/>
      <c r="BE119" s="7"/>
      <c r="BF119" s="8"/>
      <c r="BG119" s="48"/>
      <c r="BH119" s="48"/>
      <c r="BI119" s="48"/>
      <c r="BJ119" s="48"/>
      <c r="BK119" s="48"/>
      <c r="BL119" s="48"/>
      <c r="BM119" s="8"/>
      <c r="BN119" s="12"/>
    </row>
    <row r="120" spans="12:66" ht="15" customHeight="1" thickBot="1" x14ac:dyDescent="0.35">
      <c r="L120" s="7"/>
      <c r="M120" s="8"/>
      <c r="N120" s="15"/>
      <c r="O120" s="48"/>
      <c r="P120" s="48"/>
      <c r="Q120" s="102"/>
      <c r="R120" s="48"/>
      <c r="S120" s="48"/>
      <c r="T120" s="8"/>
      <c r="U120" s="12"/>
      <c r="X120" s="7"/>
      <c r="Y120" s="8"/>
      <c r="Z120" s="48"/>
      <c r="AA120" s="48"/>
      <c r="AB120" s="48"/>
      <c r="AC120" s="48"/>
      <c r="AD120" s="48"/>
      <c r="AE120" s="48"/>
      <c r="AF120" s="8"/>
      <c r="AG120" s="12"/>
      <c r="AI120" s="7"/>
      <c r="AJ120" s="8"/>
      <c r="AK120" s="48"/>
      <c r="AL120" s="48"/>
      <c r="AM120" s="48"/>
      <c r="AN120" s="48"/>
      <c r="AO120" s="48"/>
      <c r="AP120" s="48"/>
      <c r="AQ120" s="8"/>
      <c r="AR120" s="12"/>
      <c r="AT120" s="7"/>
      <c r="AU120" s="8"/>
      <c r="AV120" s="8"/>
      <c r="AW120" s="48"/>
      <c r="AX120" s="48"/>
      <c r="AY120" s="48"/>
      <c r="AZ120" s="48"/>
      <c r="BA120" s="8"/>
      <c r="BB120" s="8"/>
      <c r="BC120" s="12"/>
      <c r="BE120" s="7"/>
      <c r="BF120" s="8"/>
      <c r="BG120" s="48"/>
      <c r="BH120" s="48"/>
      <c r="BI120" s="48"/>
      <c r="BJ120" s="48"/>
      <c r="BK120" s="48"/>
      <c r="BL120" s="48"/>
      <c r="BM120" s="8"/>
      <c r="BN120" s="12"/>
    </row>
    <row r="121" spans="12:66" ht="15" customHeight="1" thickBot="1" x14ac:dyDescent="0.35">
      <c r="L121" s="7"/>
      <c r="M121" s="8"/>
      <c r="N121" s="15"/>
      <c r="O121" s="48"/>
      <c r="P121" s="48"/>
      <c r="Q121" s="102"/>
      <c r="R121" s="48"/>
      <c r="S121" s="48"/>
      <c r="T121" s="8"/>
      <c r="U121" s="12"/>
      <c r="X121" s="7"/>
      <c r="Y121" s="8"/>
      <c r="Z121" s="48"/>
      <c r="AA121" s="48"/>
      <c r="AB121" s="48"/>
      <c r="AC121" s="48"/>
      <c r="AD121" s="48"/>
      <c r="AE121" s="48"/>
      <c r="AF121" s="8"/>
      <c r="AG121" s="12"/>
      <c r="AI121" s="7"/>
      <c r="AJ121" s="8"/>
      <c r="AK121" s="48"/>
      <c r="AL121" s="48"/>
      <c r="AM121" s="48"/>
      <c r="AN121" s="48"/>
      <c r="AO121" s="48"/>
      <c r="AP121" s="48"/>
      <c r="AQ121" s="8"/>
      <c r="AR121" s="12"/>
      <c r="AT121" s="7"/>
      <c r="AU121" s="8"/>
      <c r="AV121" s="8"/>
      <c r="AW121" s="8"/>
      <c r="AX121" s="8"/>
      <c r="AY121" s="8"/>
      <c r="AZ121" s="8"/>
      <c r="BA121" s="8"/>
      <c r="BB121" s="8"/>
      <c r="BC121" s="12"/>
      <c r="BE121" s="7"/>
      <c r="BF121" s="8"/>
      <c r="BG121" s="109"/>
      <c r="BH121" s="110"/>
      <c r="BI121" s="110"/>
      <c r="BJ121" s="110"/>
      <c r="BK121" s="110"/>
      <c r="BL121" s="111"/>
      <c r="BM121" s="8"/>
      <c r="BN121" s="12"/>
    </row>
    <row r="122" spans="12:66" ht="15" customHeight="1" x14ac:dyDescent="0.3">
      <c r="L122" s="7"/>
      <c r="M122" s="8"/>
      <c r="N122" s="57"/>
      <c r="O122" s="48"/>
      <c r="P122" s="48"/>
      <c r="Q122" s="57"/>
      <c r="R122" s="48"/>
      <c r="S122" s="48"/>
      <c r="T122" s="8"/>
      <c r="U122" s="12"/>
      <c r="X122" s="7"/>
      <c r="Y122" s="8"/>
      <c r="Z122" s="48"/>
      <c r="AA122" s="48"/>
      <c r="AB122" s="48"/>
      <c r="AC122" s="48"/>
      <c r="AD122" s="48"/>
      <c r="AE122" s="48"/>
      <c r="AF122" s="8"/>
      <c r="AG122" s="12"/>
      <c r="AI122" s="7"/>
      <c r="AJ122" s="8"/>
      <c r="AK122" s="48"/>
      <c r="AL122" s="48"/>
      <c r="AM122" s="48"/>
      <c r="AN122" s="48"/>
      <c r="AO122" s="48"/>
      <c r="AP122" s="48"/>
      <c r="AQ122" s="8"/>
      <c r="AR122" s="12"/>
      <c r="AT122" s="7"/>
      <c r="AU122" s="8"/>
      <c r="AV122" s="8"/>
      <c r="AW122" s="8"/>
      <c r="AX122" s="8"/>
      <c r="AY122" s="8"/>
      <c r="AZ122" s="8"/>
      <c r="BA122" s="8"/>
      <c r="BB122" s="8"/>
      <c r="BC122" s="12"/>
      <c r="BE122" s="7"/>
      <c r="BF122" s="8"/>
      <c r="BG122" s="48"/>
      <c r="BH122" s="48"/>
      <c r="BI122" s="48"/>
      <c r="BJ122" s="48"/>
      <c r="BK122" s="48"/>
      <c r="BL122" s="48"/>
      <c r="BM122" s="8"/>
      <c r="BN122" s="12"/>
    </row>
    <row r="123" spans="12:66" ht="15" customHeight="1" thickBot="1" x14ac:dyDescent="0.35">
      <c r="L123" s="9"/>
      <c r="M123" s="10"/>
      <c r="N123" s="44"/>
      <c r="O123" s="49"/>
      <c r="P123" s="49"/>
      <c r="Q123" s="106"/>
      <c r="R123" s="49"/>
      <c r="S123" s="49"/>
      <c r="T123" s="10"/>
      <c r="U123" s="13"/>
      <c r="X123" s="9"/>
      <c r="Y123" s="10"/>
      <c r="Z123" s="49"/>
      <c r="AA123" s="49"/>
      <c r="AB123" s="49"/>
      <c r="AC123" s="49"/>
      <c r="AD123" s="49"/>
      <c r="AE123" s="49"/>
      <c r="AF123" s="10"/>
      <c r="AG123" s="13"/>
      <c r="AI123" s="9"/>
      <c r="AJ123" s="10"/>
      <c r="AK123" s="49"/>
      <c r="AL123" s="49"/>
      <c r="AM123" s="49"/>
      <c r="AN123" s="49"/>
      <c r="AO123" s="49"/>
      <c r="AP123" s="49"/>
      <c r="AQ123" s="10"/>
      <c r="AR123" s="13"/>
      <c r="AT123" s="9"/>
      <c r="AU123" s="10"/>
      <c r="AV123" s="10"/>
      <c r="AW123" s="10"/>
      <c r="AX123" s="10"/>
      <c r="AY123" s="10"/>
      <c r="AZ123" s="10"/>
      <c r="BA123" s="10"/>
      <c r="BB123" s="10"/>
      <c r="BC123" s="13"/>
      <c r="BE123" s="9"/>
      <c r="BF123" s="10"/>
      <c r="BG123" s="49"/>
      <c r="BH123" s="49"/>
      <c r="BI123" s="49"/>
      <c r="BJ123" s="49"/>
      <c r="BK123" s="49"/>
      <c r="BL123" s="49"/>
      <c r="BM123" s="10"/>
      <c r="BN123" s="13"/>
    </row>
    <row r="124" spans="12:66" ht="15" customHeight="1" thickBot="1" x14ac:dyDescent="0.35">
      <c r="L124" s="1" t="s">
        <v>55</v>
      </c>
      <c r="X124" s="1" t="s">
        <v>56</v>
      </c>
      <c r="AI124" s="1" t="s">
        <v>57</v>
      </c>
      <c r="AT124" s="1" t="s">
        <v>58</v>
      </c>
      <c r="BE124" s="1" t="s">
        <v>59</v>
      </c>
    </row>
    <row r="125" spans="12:66" ht="15" customHeight="1" x14ac:dyDescent="0.3">
      <c r="L125" s="5"/>
      <c r="M125" s="6"/>
      <c r="N125" s="47"/>
      <c r="O125" s="47"/>
      <c r="P125" s="47"/>
      <c r="Q125" s="47"/>
      <c r="R125" s="47"/>
      <c r="S125" s="47"/>
      <c r="T125" s="6"/>
      <c r="U125" s="11"/>
      <c r="X125" s="5"/>
      <c r="Y125" s="6"/>
      <c r="Z125" s="6"/>
      <c r="AA125" s="6"/>
      <c r="AB125" s="115"/>
      <c r="AC125" s="116"/>
      <c r="AD125" s="6"/>
      <c r="AE125" s="6"/>
      <c r="AF125" s="6"/>
      <c r="AG125" s="11"/>
      <c r="AI125" s="5"/>
      <c r="AJ125" s="6"/>
      <c r="AK125" s="6"/>
      <c r="AL125" s="6"/>
      <c r="AM125" s="6"/>
      <c r="AN125" s="6"/>
      <c r="AO125" s="6"/>
      <c r="AP125" s="6"/>
      <c r="AQ125" s="6"/>
      <c r="AR125" s="11"/>
      <c r="AT125" s="5"/>
      <c r="AU125" s="47"/>
      <c r="AV125" s="47"/>
      <c r="AW125" s="47"/>
      <c r="AX125" s="47"/>
      <c r="AY125" s="47"/>
      <c r="AZ125" s="47"/>
      <c r="BA125" s="47"/>
      <c r="BB125" s="47"/>
      <c r="BC125" s="11"/>
      <c r="BE125" s="5"/>
      <c r="BF125" s="6"/>
      <c r="BG125" s="47"/>
      <c r="BH125" s="47"/>
      <c r="BI125" s="47"/>
      <c r="BJ125" s="47"/>
      <c r="BK125" s="47"/>
      <c r="BL125" s="47"/>
      <c r="BM125" s="6"/>
      <c r="BN125" s="11"/>
    </row>
    <row r="126" spans="12:66" ht="15" customHeight="1" thickBot="1" x14ac:dyDescent="0.35">
      <c r="L126" s="7"/>
      <c r="M126" s="8"/>
      <c r="N126" s="48"/>
      <c r="O126" s="48"/>
      <c r="P126" s="48"/>
      <c r="Q126" s="48"/>
      <c r="R126" s="48"/>
      <c r="S126" s="48"/>
      <c r="T126" s="8"/>
      <c r="U126" s="12"/>
      <c r="X126" s="7"/>
      <c r="Y126" s="8"/>
      <c r="Z126" s="8"/>
      <c r="AA126" s="8"/>
      <c r="AB126" s="117"/>
      <c r="AC126" s="118"/>
      <c r="AD126" s="8"/>
      <c r="AE126" s="8"/>
      <c r="AF126" s="8"/>
      <c r="AG126" s="12"/>
      <c r="AI126" s="7"/>
      <c r="AJ126" s="8"/>
      <c r="AK126" s="8"/>
      <c r="AL126" s="8"/>
      <c r="AM126" s="8"/>
      <c r="AN126" s="8"/>
      <c r="AO126" s="8"/>
      <c r="AP126" s="8"/>
      <c r="AQ126" s="8"/>
      <c r="AR126" s="12"/>
      <c r="AT126" s="7"/>
      <c r="AU126" s="102"/>
      <c r="AV126" s="48"/>
      <c r="AW126" s="48"/>
      <c r="AX126" s="48"/>
      <c r="AY126" s="48"/>
      <c r="AZ126" s="48"/>
      <c r="BA126" s="48"/>
      <c r="BB126" s="15"/>
      <c r="BC126" s="12"/>
      <c r="BE126" s="7"/>
      <c r="BF126" s="8"/>
      <c r="BG126" s="48"/>
      <c r="BH126" s="48"/>
      <c r="BI126" s="48"/>
      <c r="BJ126" s="48"/>
      <c r="BK126" s="48"/>
      <c r="BL126" s="48"/>
      <c r="BM126" s="8"/>
      <c r="BN126" s="12"/>
    </row>
    <row r="127" spans="12:66" ht="15" customHeight="1" thickBot="1" x14ac:dyDescent="0.35">
      <c r="L127" s="7"/>
      <c r="M127" s="8"/>
      <c r="N127" s="112"/>
      <c r="O127" s="113"/>
      <c r="P127" s="113"/>
      <c r="Q127" s="113"/>
      <c r="R127" s="113"/>
      <c r="S127" s="111"/>
      <c r="T127" s="8"/>
      <c r="U127" s="12"/>
      <c r="X127" s="7"/>
      <c r="Y127" s="8"/>
      <c r="Z127" s="8"/>
      <c r="AA127" s="8"/>
      <c r="AB127" s="117"/>
      <c r="AC127" s="118"/>
      <c r="AD127" s="8"/>
      <c r="AE127" s="8"/>
      <c r="AF127" s="8"/>
      <c r="AG127" s="12"/>
      <c r="AI127" s="7"/>
      <c r="AJ127" s="8"/>
      <c r="AK127" s="8"/>
      <c r="AL127" s="8"/>
      <c r="AM127" s="8"/>
      <c r="AN127" s="8"/>
      <c r="AO127" s="8"/>
      <c r="AP127" s="8"/>
      <c r="AQ127" s="8"/>
      <c r="AR127" s="12"/>
      <c r="AT127" s="7"/>
      <c r="AU127" s="48"/>
      <c r="AV127" s="102"/>
      <c r="AW127" s="48"/>
      <c r="AX127" s="48"/>
      <c r="AY127" s="48"/>
      <c r="AZ127" s="48"/>
      <c r="BA127" s="15"/>
      <c r="BB127" s="48"/>
      <c r="BC127" s="12"/>
      <c r="BE127" s="7"/>
      <c r="BF127" s="8"/>
      <c r="BG127" s="8"/>
      <c r="BH127" s="8"/>
      <c r="BI127" s="8"/>
      <c r="BJ127" s="48"/>
      <c r="BK127" s="48"/>
      <c r="BL127" s="48"/>
      <c r="BM127" s="8"/>
      <c r="BN127" s="12"/>
    </row>
    <row r="128" spans="12:66" ht="15" customHeight="1" x14ac:dyDescent="0.3">
      <c r="L128" s="7"/>
      <c r="M128" s="8"/>
      <c r="N128" s="48"/>
      <c r="O128" s="48"/>
      <c r="P128" s="48"/>
      <c r="Q128" s="48"/>
      <c r="R128" s="48"/>
      <c r="S128" s="48"/>
      <c r="T128" s="8"/>
      <c r="U128" s="12"/>
      <c r="X128" s="7"/>
      <c r="Y128" s="8"/>
      <c r="Z128" s="8"/>
      <c r="AA128" s="8"/>
      <c r="AB128" s="117"/>
      <c r="AC128" s="118"/>
      <c r="AD128" s="8"/>
      <c r="AE128" s="8"/>
      <c r="AF128" s="8"/>
      <c r="AG128" s="12"/>
      <c r="AI128" s="7"/>
      <c r="AJ128" s="8"/>
      <c r="AK128" s="8"/>
      <c r="AL128" s="115"/>
      <c r="AM128" s="116"/>
      <c r="AN128" s="121"/>
      <c r="AO128" s="121"/>
      <c r="AP128" s="121"/>
      <c r="AQ128" s="121"/>
      <c r="AR128" s="116"/>
      <c r="AT128" s="7"/>
      <c r="AU128" s="48"/>
      <c r="AV128" s="48"/>
      <c r="AW128" s="102"/>
      <c r="AX128" s="48"/>
      <c r="AY128" s="48"/>
      <c r="AZ128" s="15"/>
      <c r="BA128" s="48"/>
      <c r="BB128" s="48"/>
      <c r="BC128" s="12"/>
      <c r="BE128" s="7"/>
      <c r="BF128" s="8"/>
      <c r="BG128" s="48"/>
      <c r="BH128" s="48"/>
      <c r="BI128" s="48"/>
      <c r="BJ128" s="48"/>
      <c r="BK128" s="48"/>
      <c r="BL128" s="48"/>
      <c r="BM128" s="8"/>
      <c r="BN128" s="12"/>
    </row>
    <row r="129" spans="12:66" ht="15" customHeight="1" thickBot="1" x14ac:dyDescent="0.35">
      <c r="L129" s="7"/>
      <c r="M129" s="8"/>
      <c r="N129" s="48"/>
      <c r="O129" s="48"/>
      <c r="P129" s="48"/>
      <c r="Q129" s="48"/>
      <c r="R129" s="48"/>
      <c r="S129" s="48"/>
      <c r="T129" s="8"/>
      <c r="U129" s="12"/>
      <c r="X129" s="7"/>
      <c r="Y129" s="8"/>
      <c r="Z129" s="8"/>
      <c r="AA129" s="8"/>
      <c r="AB129" s="117"/>
      <c r="AC129" s="118"/>
      <c r="AD129" s="8"/>
      <c r="AE129" s="8"/>
      <c r="AF129" s="8"/>
      <c r="AG129" s="12"/>
      <c r="AI129" s="7"/>
      <c r="AJ129" s="8"/>
      <c r="AK129" s="8"/>
      <c r="AL129" s="119"/>
      <c r="AM129" s="120"/>
      <c r="AN129" s="122"/>
      <c r="AO129" s="122"/>
      <c r="AP129" s="122"/>
      <c r="AQ129" s="122"/>
      <c r="AR129" s="120"/>
      <c r="AT129" s="7"/>
      <c r="AU129" s="48"/>
      <c r="AV129" s="48"/>
      <c r="AW129" s="48"/>
      <c r="AX129" s="79"/>
      <c r="AY129" s="79"/>
      <c r="AZ129" s="48"/>
      <c r="BA129" s="48"/>
      <c r="BB129" s="48"/>
      <c r="BC129" s="12"/>
      <c r="BE129" s="7"/>
      <c r="BF129" s="8"/>
      <c r="BG129" s="48"/>
      <c r="BH129" s="48"/>
      <c r="BI129" s="48"/>
      <c r="BJ129" s="48"/>
      <c r="BK129" s="48"/>
      <c r="BL129" s="48"/>
      <c r="BM129" s="8"/>
      <c r="BN129" s="12"/>
    </row>
    <row r="130" spans="12:66" ht="15" customHeight="1" x14ac:dyDescent="0.3">
      <c r="L130" s="7"/>
      <c r="M130" s="8"/>
      <c r="N130" s="48"/>
      <c r="O130" s="48"/>
      <c r="P130" s="48"/>
      <c r="Q130" s="48"/>
      <c r="R130" s="48"/>
      <c r="S130" s="48"/>
      <c r="T130" s="8"/>
      <c r="U130" s="12"/>
      <c r="X130" s="7"/>
      <c r="Y130" s="8"/>
      <c r="Z130" s="8"/>
      <c r="AA130" s="8"/>
      <c r="AB130" s="117"/>
      <c r="AC130" s="118"/>
      <c r="AD130" s="8"/>
      <c r="AE130" s="8"/>
      <c r="AF130" s="8"/>
      <c r="AG130" s="12"/>
      <c r="AI130" s="7"/>
      <c r="AJ130" s="8"/>
      <c r="AK130" s="8"/>
      <c r="AL130" s="117"/>
      <c r="AM130" s="118"/>
      <c r="AN130" s="8"/>
      <c r="AO130" s="8"/>
      <c r="AP130" s="8"/>
      <c r="AQ130" s="8"/>
      <c r="AR130" s="12"/>
      <c r="AT130" s="7"/>
      <c r="AU130" s="48"/>
      <c r="AV130" s="48"/>
      <c r="AW130" s="48"/>
      <c r="AX130" s="79"/>
      <c r="AY130" s="79"/>
      <c r="AZ130" s="48"/>
      <c r="BA130" s="48"/>
      <c r="BB130" s="48"/>
      <c r="BC130" s="12"/>
      <c r="BE130" s="7"/>
      <c r="BF130" s="8"/>
      <c r="BG130" s="48"/>
      <c r="BH130" s="48"/>
      <c r="BI130" s="8"/>
      <c r="BJ130" s="8"/>
      <c r="BK130" s="8"/>
      <c r="BL130" s="8"/>
      <c r="BM130" s="8"/>
      <c r="BN130" s="12"/>
    </row>
    <row r="131" spans="12:66" ht="15" customHeight="1" thickBot="1" x14ac:dyDescent="0.35">
      <c r="L131" s="7"/>
      <c r="M131" s="8"/>
      <c r="N131" s="48"/>
      <c r="O131" s="48"/>
      <c r="P131" s="48"/>
      <c r="Q131" s="48"/>
      <c r="R131" s="48"/>
      <c r="S131" s="48"/>
      <c r="T131" s="8"/>
      <c r="U131" s="12"/>
      <c r="X131" s="7"/>
      <c r="Y131" s="8"/>
      <c r="Z131" s="8"/>
      <c r="AA131" s="8"/>
      <c r="AB131" s="119"/>
      <c r="AC131" s="120"/>
      <c r="AD131" s="8"/>
      <c r="AE131" s="8"/>
      <c r="AF131" s="8"/>
      <c r="AG131" s="12"/>
      <c r="AI131" s="7"/>
      <c r="AJ131" s="8"/>
      <c r="AK131" s="8"/>
      <c r="AL131" s="117"/>
      <c r="AM131" s="118"/>
      <c r="AN131" s="8"/>
      <c r="AO131" s="8"/>
      <c r="AP131" s="8"/>
      <c r="AQ131" s="8"/>
      <c r="AR131" s="12"/>
      <c r="AT131" s="7"/>
      <c r="AU131" s="48"/>
      <c r="AV131" s="48"/>
      <c r="AW131" s="15"/>
      <c r="AX131" s="48"/>
      <c r="AY131" s="48"/>
      <c r="AZ131" s="102"/>
      <c r="BA131" s="48"/>
      <c r="BB131" s="48"/>
      <c r="BC131" s="12"/>
      <c r="BE131" s="7"/>
      <c r="BF131" s="8"/>
      <c r="BG131" s="48"/>
      <c r="BH131" s="48"/>
      <c r="BI131" s="48"/>
      <c r="BJ131" s="48"/>
      <c r="BK131" s="48"/>
      <c r="BL131" s="48"/>
      <c r="BM131" s="8"/>
      <c r="BN131" s="12"/>
    </row>
    <row r="132" spans="12:66" ht="15" customHeight="1" thickBot="1" x14ac:dyDescent="0.35">
      <c r="L132" s="7"/>
      <c r="M132" s="8"/>
      <c r="N132" s="112"/>
      <c r="O132" s="113"/>
      <c r="P132" s="110"/>
      <c r="Q132" s="113"/>
      <c r="R132" s="113"/>
      <c r="S132" s="114"/>
      <c r="T132" s="8"/>
      <c r="U132" s="12"/>
      <c r="X132" s="7"/>
      <c r="Y132" s="8"/>
      <c r="Z132" s="8"/>
      <c r="AA132" s="8"/>
      <c r="AB132" s="48"/>
      <c r="AC132" s="48"/>
      <c r="AD132" s="8"/>
      <c r="AE132" s="8"/>
      <c r="AF132" s="8"/>
      <c r="AG132" s="12"/>
      <c r="AI132" s="7"/>
      <c r="AJ132" s="8"/>
      <c r="AK132" s="8"/>
      <c r="AL132" s="117"/>
      <c r="AM132" s="118"/>
      <c r="AN132" s="8"/>
      <c r="AO132" s="8"/>
      <c r="AP132" s="8"/>
      <c r="AQ132" s="8"/>
      <c r="AR132" s="12"/>
      <c r="AT132" s="7"/>
      <c r="AU132" s="48"/>
      <c r="AV132" s="15"/>
      <c r="AW132" s="48"/>
      <c r="AX132" s="48"/>
      <c r="AY132" s="48"/>
      <c r="AZ132" s="48"/>
      <c r="BA132" s="102"/>
      <c r="BB132" s="48"/>
      <c r="BC132" s="12"/>
      <c r="BE132" s="7"/>
      <c r="BF132" s="8"/>
      <c r="BG132" s="48"/>
      <c r="BH132" s="48"/>
      <c r="BI132" s="48"/>
      <c r="BJ132" s="48"/>
      <c r="BK132" s="48"/>
      <c r="BL132" s="48"/>
      <c r="BM132" s="8"/>
      <c r="BN132" s="12"/>
    </row>
    <row r="133" spans="12:66" ht="15" customHeight="1" x14ac:dyDescent="0.3">
      <c r="L133" s="7"/>
      <c r="M133" s="8"/>
      <c r="N133" s="48"/>
      <c r="O133" s="48"/>
      <c r="P133" s="48"/>
      <c r="Q133" s="48"/>
      <c r="R133" s="48"/>
      <c r="S133" s="48"/>
      <c r="T133" s="8"/>
      <c r="U133" s="12"/>
      <c r="X133" s="7"/>
      <c r="Y133" s="8"/>
      <c r="Z133" s="8"/>
      <c r="AA133" s="48"/>
      <c r="AB133" s="48"/>
      <c r="AC133" s="48"/>
      <c r="AD133" s="48"/>
      <c r="AE133" s="8"/>
      <c r="AF133" s="8"/>
      <c r="AG133" s="12"/>
      <c r="AI133" s="7"/>
      <c r="AJ133" s="8"/>
      <c r="AK133" s="8"/>
      <c r="AL133" s="117"/>
      <c r="AM133" s="118"/>
      <c r="AN133" s="8"/>
      <c r="AO133" s="8"/>
      <c r="AP133" s="8"/>
      <c r="AQ133" s="8"/>
      <c r="AR133" s="12"/>
      <c r="AT133" s="7"/>
      <c r="AU133" s="15"/>
      <c r="AV133" s="48"/>
      <c r="AW133" s="48"/>
      <c r="AX133" s="48"/>
      <c r="AY133" s="48"/>
      <c r="AZ133" s="48"/>
      <c r="BA133" s="48"/>
      <c r="BB133" s="102"/>
      <c r="BC133" s="12"/>
      <c r="BE133" s="7"/>
      <c r="BF133" s="8"/>
      <c r="BG133" s="8"/>
      <c r="BH133" s="8"/>
      <c r="BI133" s="8"/>
      <c r="BJ133" s="48"/>
      <c r="BK133" s="48"/>
      <c r="BL133" s="48"/>
      <c r="BM133" s="8"/>
      <c r="BN133" s="12"/>
    </row>
    <row r="134" spans="12:66" ht="15" customHeight="1" thickBot="1" x14ac:dyDescent="0.35">
      <c r="L134" s="9"/>
      <c r="M134" s="10"/>
      <c r="N134" s="49"/>
      <c r="O134" s="49"/>
      <c r="P134" s="49"/>
      <c r="Q134" s="49"/>
      <c r="R134" s="49"/>
      <c r="S134" s="49"/>
      <c r="T134" s="10"/>
      <c r="U134" s="13"/>
      <c r="X134" s="9"/>
      <c r="Y134" s="10"/>
      <c r="Z134" s="49"/>
      <c r="AA134" s="49"/>
      <c r="AB134" s="49"/>
      <c r="AC134" s="49"/>
      <c r="AD134" s="49"/>
      <c r="AE134" s="49"/>
      <c r="AF134" s="10"/>
      <c r="AG134" s="13"/>
      <c r="AI134" s="9"/>
      <c r="AJ134" s="10"/>
      <c r="AK134" s="10"/>
      <c r="AL134" s="119"/>
      <c r="AM134" s="120"/>
      <c r="AN134" s="10"/>
      <c r="AO134" s="10"/>
      <c r="AP134" s="10"/>
      <c r="AQ134" s="10"/>
      <c r="AR134" s="13"/>
      <c r="AT134" s="9"/>
      <c r="AU134" s="10"/>
      <c r="AV134" s="10"/>
      <c r="AW134" s="10"/>
      <c r="AX134" s="10"/>
      <c r="AY134" s="10"/>
      <c r="AZ134" s="10"/>
      <c r="BA134" s="10"/>
      <c r="BB134" s="10"/>
      <c r="BC134" s="13"/>
      <c r="BE134" s="9"/>
      <c r="BF134" s="10"/>
      <c r="BG134" s="49"/>
      <c r="BH134" s="49"/>
      <c r="BI134" s="49"/>
      <c r="BJ134" s="49"/>
      <c r="BK134" s="49"/>
      <c r="BL134" s="49"/>
      <c r="BM134" s="10"/>
      <c r="BN134" s="13"/>
    </row>
    <row r="135" spans="12:66" ht="15" customHeight="1" thickBot="1" x14ac:dyDescent="0.35">
      <c r="L135" s="1" t="s">
        <v>60</v>
      </c>
      <c r="X135" s="1" t="s">
        <v>61</v>
      </c>
      <c r="AI135" s="1" t="s">
        <v>62</v>
      </c>
      <c r="AT135" s="1" t="s">
        <v>63</v>
      </c>
      <c r="AU135" s="1" t="s">
        <v>156</v>
      </c>
      <c r="BE135" s="1" t="s">
        <v>64</v>
      </c>
      <c r="BF135" s="1" t="s">
        <v>157</v>
      </c>
    </row>
    <row r="136" spans="12:66" ht="15" customHeight="1" thickBot="1" x14ac:dyDescent="0.35">
      <c r="L136" s="5"/>
      <c r="M136" s="6"/>
      <c r="N136" s="74"/>
      <c r="O136" s="47"/>
      <c r="P136" s="47"/>
      <c r="Q136" s="47"/>
      <c r="R136" s="47"/>
      <c r="S136" s="47"/>
      <c r="T136" s="6"/>
      <c r="U136" s="11"/>
      <c r="X136" s="5"/>
      <c r="Y136" s="6"/>
      <c r="Z136" s="47"/>
      <c r="AA136" s="47"/>
      <c r="AB136" s="47"/>
      <c r="AC136" s="47"/>
      <c r="AD136" s="47"/>
      <c r="AE136" s="47"/>
      <c r="AF136" s="6"/>
      <c r="AG136" s="11"/>
      <c r="AI136" s="5"/>
      <c r="AJ136" s="6"/>
      <c r="AK136" s="47"/>
      <c r="AL136" s="47"/>
      <c r="AM136" s="47"/>
      <c r="AN136" s="47"/>
      <c r="AO136" s="47"/>
      <c r="AP136" s="47"/>
      <c r="AQ136" s="6"/>
      <c r="AR136" s="11"/>
      <c r="AT136" s="5"/>
      <c r="AU136" s="6"/>
      <c r="AV136" s="47"/>
      <c r="AW136" s="47"/>
      <c r="AX136" s="47"/>
      <c r="AY136" s="47"/>
      <c r="AZ136" s="47"/>
      <c r="BA136" s="47"/>
      <c r="BB136" s="6"/>
      <c r="BC136" s="11"/>
      <c r="BE136" s="5"/>
      <c r="BF136" s="6"/>
      <c r="BG136" s="47"/>
      <c r="BH136" s="47"/>
      <c r="BI136" s="47"/>
      <c r="BJ136" s="47"/>
      <c r="BK136" s="47"/>
      <c r="BL136" s="47"/>
      <c r="BM136" s="6"/>
      <c r="BN136" s="11"/>
    </row>
    <row r="137" spans="12:66" ht="15" customHeight="1" thickBot="1" x14ac:dyDescent="0.35">
      <c r="L137" s="7"/>
      <c r="M137" s="8"/>
      <c r="N137" s="48"/>
      <c r="O137" s="76"/>
      <c r="P137" s="48"/>
      <c r="Q137" s="48"/>
      <c r="R137" s="48"/>
      <c r="S137" s="48"/>
      <c r="T137" s="8"/>
      <c r="U137" s="12"/>
      <c r="X137" s="7"/>
      <c r="Y137" s="8"/>
      <c r="Z137" s="124"/>
      <c r="AA137" s="125"/>
      <c r="AB137" s="125"/>
      <c r="AC137" s="125"/>
      <c r="AD137" s="125"/>
      <c r="AE137" s="126"/>
      <c r="AF137" s="8"/>
      <c r="AG137" s="12"/>
      <c r="AI137" s="7"/>
      <c r="AJ137" s="8"/>
      <c r="AK137" s="48"/>
      <c r="AL137" s="48"/>
      <c r="AM137" s="8"/>
      <c r="AN137" s="8"/>
      <c r="AO137" s="48"/>
      <c r="AP137" s="48"/>
      <c r="AQ137" s="8"/>
      <c r="AR137" s="12"/>
      <c r="AT137" s="7"/>
      <c r="AU137" s="8"/>
      <c r="AV137" s="48"/>
      <c r="AW137" s="48"/>
      <c r="AX137" s="48"/>
      <c r="AY137" s="48"/>
      <c r="AZ137" s="48"/>
      <c r="BA137" s="48"/>
      <c r="BB137" s="8"/>
      <c r="BC137" s="12"/>
      <c r="BE137" s="7"/>
      <c r="BF137" s="8"/>
      <c r="BG137" s="48"/>
      <c r="BH137" s="48"/>
      <c r="BI137" s="48"/>
      <c r="BJ137" s="48"/>
      <c r="BK137" s="48"/>
      <c r="BL137" s="48"/>
      <c r="BM137" s="8"/>
      <c r="BN137" s="12"/>
    </row>
    <row r="138" spans="12:66" ht="15" customHeight="1" thickBot="1" x14ac:dyDescent="0.35">
      <c r="L138" s="7"/>
      <c r="M138" s="8"/>
      <c r="N138" s="48"/>
      <c r="O138" s="48"/>
      <c r="P138" s="76"/>
      <c r="Q138" s="48"/>
      <c r="R138" s="48"/>
      <c r="S138" s="48"/>
      <c r="T138" s="8"/>
      <c r="U138" s="12"/>
      <c r="X138" s="7"/>
      <c r="Y138" s="8"/>
      <c r="Z138" s="124"/>
      <c r="AA138" s="125"/>
      <c r="AB138" s="125"/>
      <c r="AC138" s="125"/>
      <c r="AD138" s="125"/>
      <c r="AE138" s="126"/>
      <c r="AF138" s="8"/>
      <c r="AG138" s="12"/>
      <c r="AI138" s="7"/>
      <c r="AJ138" s="8"/>
      <c r="AK138" s="48"/>
      <c r="AL138" s="48"/>
      <c r="AM138" s="8"/>
      <c r="AN138" s="8"/>
      <c r="AO138" s="48"/>
      <c r="AP138" s="48"/>
      <c r="AQ138" s="8"/>
      <c r="AR138" s="12"/>
      <c r="AT138" s="7"/>
      <c r="AU138" s="8"/>
      <c r="AV138" s="48"/>
      <c r="AW138" s="48"/>
      <c r="AX138" s="8"/>
      <c r="AY138" s="48"/>
      <c r="AZ138" s="48"/>
      <c r="BA138" s="48"/>
      <c r="BB138" s="8"/>
      <c r="BC138" s="12"/>
      <c r="BE138" s="7"/>
      <c r="BF138" s="8"/>
      <c r="BG138" s="48"/>
      <c r="BH138" s="48"/>
      <c r="BI138" s="48"/>
      <c r="BJ138" s="48"/>
      <c r="BK138" s="48"/>
      <c r="BL138" s="48"/>
      <c r="BM138" s="8"/>
      <c r="BN138" s="12"/>
    </row>
    <row r="139" spans="12:66" ht="15" customHeight="1" thickBot="1" x14ac:dyDescent="0.35">
      <c r="L139" s="7"/>
      <c r="M139" s="8"/>
      <c r="N139" s="48"/>
      <c r="O139" s="48"/>
      <c r="P139" s="48"/>
      <c r="Q139" s="76"/>
      <c r="R139" s="48"/>
      <c r="S139" s="48"/>
      <c r="T139" s="8"/>
      <c r="U139" s="12"/>
      <c r="X139" s="7"/>
      <c r="Y139" s="8"/>
      <c r="Z139" s="124"/>
      <c r="AA139" s="125"/>
      <c r="AB139" s="125"/>
      <c r="AC139" s="125"/>
      <c r="AD139" s="125"/>
      <c r="AE139" s="126"/>
      <c r="AF139" s="8"/>
      <c r="AG139" s="12"/>
      <c r="AI139" s="7"/>
      <c r="AJ139" s="8"/>
      <c r="AK139" s="48"/>
      <c r="AL139" s="48"/>
      <c r="AM139" s="127"/>
      <c r="AN139" s="48"/>
      <c r="AO139" s="48"/>
      <c r="AP139" s="48"/>
      <c r="AQ139" s="8"/>
      <c r="AR139" s="12"/>
      <c r="AT139" s="7"/>
      <c r="AU139" s="8"/>
      <c r="AV139" s="48"/>
      <c r="AW139" s="48"/>
      <c r="AX139" s="8"/>
      <c r="AY139" s="8"/>
      <c r="AZ139" s="48"/>
      <c r="BA139" s="48"/>
      <c r="BB139" s="8"/>
      <c r="BC139" s="12"/>
      <c r="BE139" s="7"/>
      <c r="BF139" s="8"/>
      <c r="BG139" s="48"/>
      <c r="BH139" s="48"/>
      <c r="BI139" s="48"/>
      <c r="BJ139" s="48"/>
      <c r="BK139" s="48"/>
      <c r="BL139" s="48"/>
      <c r="BM139" s="8"/>
      <c r="BN139" s="12"/>
    </row>
    <row r="140" spans="12:66" ht="15" customHeight="1" thickBot="1" x14ac:dyDescent="0.35">
      <c r="L140" s="7"/>
      <c r="M140" s="8"/>
      <c r="N140" s="48"/>
      <c r="O140" s="48"/>
      <c r="P140" s="48"/>
      <c r="Q140" s="48"/>
      <c r="R140" s="76"/>
      <c r="S140" s="48"/>
      <c r="T140" s="8"/>
      <c r="U140" s="12"/>
      <c r="X140" s="7"/>
      <c r="Y140" s="8"/>
      <c r="Z140" s="124"/>
      <c r="AA140" s="125"/>
      <c r="AB140" s="125"/>
      <c r="AC140" s="125"/>
      <c r="AD140" s="125"/>
      <c r="AE140" s="126"/>
      <c r="AF140" s="8"/>
      <c r="AG140" s="12"/>
      <c r="AI140" s="7"/>
      <c r="AJ140" s="8"/>
      <c r="AK140" s="48"/>
      <c r="AL140" s="48"/>
      <c r="AM140" s="127"/>
      <c r="AN140" s="48"/>
      <c r="AO140" s="48"/>
      <c r="AP140" s="48"/>
      <c r="AQ140" s="8"/>
      <c r="AR140" s="12"/>
      <c r="AT140" s="7"/>
      <c r="AU140" s="8"/>
      <c r="AV140" s="48"/>
      <c r="AW140" s="48"/>
      <c r="AX140" s="8"/>
      <c r="AY140" s="8"/>
      <c r="AZ140" s="8"/>
      <c r="BA140" s="48"/>
      <c r="BB140" s="8"/>
      <c r="BC140" s="12"/>
      <c r="BE140" s="7"/>
      <c r="BF140" s="8"/>
      <c r="BG140" s="128"/>
      <c r="BH140" s="128"/>
      <c r="BI140" s="128"/>
      <c r="BJ140" s="128"/>
      <c r="BK140" s="128"/>
      <c r="BL140" s="128"/>
      <c r="BM140" s="8"/>
      <c r="BN140" s="12"/>
    </row>
    <row r="141" spans="12:66" ht="15" customHeight="1" thickBot="1" x14ac:dyDescent="0.35">
      <c r="L141" s="7"/>
      <c r="M141" s="8"/>
      <c r="N141" s="48"/>
      <c r="O141" s="48"/>
      <c r="P141" s="48"/>
      <c r="Q141" s="48"/>
      <c r="R141" s="48"/>
      <c r="S141" s="76"/>
      <c r="T141" s="8"/>
      <c r="U141" s="12"/>
      <c r="X141" s="7"/>
      <c r="Y141" s="8"/>
      <c r="Z141" s="124"/>
      <c r="AA141" s="125"/>
      <c r="AB141" s="125"/>
      <c r="AC141" s="125"/>
      <c r="AD141" s="125"/>
      <c r="AE141" s="126"/>
      <c r="AF141" s="8"/>
      <c r="AG141" s="12"/>
      <c r="AI141" s="7"/>
      <c r="AJ141" s="8"/>
      <c r="AK141" s="48"/>
      <c r="AL141" s="48"/>
      <c r="AM141" s="127"/>
      <c r="AN141" s="48"/>
      <c r="AO141" s="48"/>
      <c r="AP141" s="48"/>
      <c r="AQ141" s="8"/>
      <c r="AR141" s="12"/>
      <c r="AT141" s="7"/>
      <c r="AU141" s="8"/>
      <c r="AV141" s="48"/>
      <c r="AW141" s="48"/>
      <c r="AX141" s="48"/>
      <c r="AY141" s="48"/>
      <c r="AZ141" s="48"/>
      <c r="BA141" s="48"/>
      <c r="BB141" s="8"/>
      <c r="BC141" s="12"/>
      <c r="BE141" s="7"/>
      <c r="BF141" s="8"/>
      <c r="BG141" s="128"/>
      <c r="BH141" s="128"/>
      <c r="BI141" s="128"/>
      <c r="BJ141" s="128"/>
      <c r="BK141" s="128"/>
      <c r="BL141" s="128"/>
      <c r="BM141" s="8"/>
      <c r="BN141" s="12"/>
    </row>
    <row r="142" spans="12:66" ht="15" customHeight="1" x14ac:dyDescent="0.3">
      <c r="L142" s="7"/>
      <c r="M142" s="8"/>
      <c r="N142" s="48"/>
      <c r="O142" s="48"/>
      <c r="P142" s="48"/>
      <c r="Q142" s="48"/>
      <c r="R142" s="48"/>
      <c r="S142" s="48"/>
      <c r="T142" s="8"/>
      <c r="U142" s="12"/>
      <c r="X142" s="7"/>
      <c r="Y142" s="8"/>
      <c r="Z142" s="48"/>
      <c r="AA142" s="48"/>
      <c r="AB142" s="48"/>
      <c r="AC142" s="48"/>
      <c r="AD142" s="48"/>
      <c r="AE142" s="48"/>
      <c r="AF142" s="8"/>
      <c r="AG142" s="12"/>
      <c r="AI142" s="7"/>
      <c r="AJ142" s="8"/>
      <c r="AK142" s="48"/>
      <c r="AL142" s="48"/>
      <c r="AM142" s="8"/>
      <c r="AN142" s="8"/>
      <c r="AO142" s="48"/>
      <c r="AP142" s="48"/>
      <c r="AQ142" s="8"/>
      <c r="AR142" s="12"/>
      <c r="AT142" s="7"/>
      <c r="AU142" s="8"/>
      <c r="AV142" s="48"/>
      <c r="AW142" s="48"/>
      <c r="AX142" s="48"/>
      <c r="AY142" s="48"/>
      <c r="AZ142" s="48"/>
      <c r="BA142" s="48"/>
      <c r="BB142" s="8"/>
      <c r="BC142" s="12"/>
      <c r="BE142" s="7"/>
      <c r="BF142" s="8"/>
      <c r="BG142" s="48"/>
      <c r="BH142" s="48"/>
      <c r="BI142" s="48"/>
      <c r="BJ142" s="48"/>
      <c r="BK142" s="48"/>
      <c r="BL142" s="48"/>
      <c r="BM142" s="8"/>
      <c r="BN142" s="12"/>
    </row>
    <row r="143" spans="12:66" ht="15" customHeight="1" x14ac:dyDescent="0.3">
      <c r="L143" s="7"/>
      <c r="M143" s="8"/>
      <c r="N143" s="48"/>
      <c r="O143" s="48"/>
      <c r="P143" s="48"/>
      <c r="Q143" s="48"/>
      <c r="R143" s="48"/>
      <c r="S143" s="48"/>
      <c r="T143" s="8"/>
      <c r="U143" s="12"/>
      <c r="X143" s="7"/>
      <c r="Y143" s="8"/>
      <c r="Z143" s="48"/>
      <c r="AA143" s="48"/>
      <c r="AB143" s="48"/>
      <c r="AC143" s="48"/>
      <c r="AD143" s="48"/>
      <c r="AE143" s="48"/>
      <c r="AF143" s="8"/>
      <c r="AG143" s="12"/>
      <c r="AI143" s="7"/>
      <c r="AJ143" s="8"/>
      <c r="AK143" s="48"/>
      <c r="AL143" s="48"/>
      <c r="AM143" s="8"/>
      <c r="AN143" s="8"/>
      <c r="AO143" s="48"/>
      <c r="AP143" s="48"/>
      <c r="AQ143" s="8"/>
      <c r="AR143" s="12"/>
      <c r="AT143" s="7"/>
      <c r="AU143" s="8"/>
      <c r="AV143" s="48"/>
      <c r="AW143" s="48"/>
      <c r="AX143" s="48"/>
      <c r="AY143" s="48"/>
      <c r="AZ143" s="48"/>
      <c r="BA143" s="48"/>
      <c r="BB143" s="8"/>
      <c r="BC143" s="12"/>
      <c r="BE143" s="7"/>
      <c r="BF143" s="8"/>
      <c r="BG143" s="48"/>
      <c r="BH143" s="48"/>
      <c r="BI143" s="48"/>
      <c r="BJ143" s="48"/>
      <c r="BK143" s="48"/>
      <c r="BL143" s="48"/>
      <c r="BM143" s="8"/>
      <c r="BN143" s="12"/>
    </row>
    <row r="144" spans="12:66" ht="15" customHeight="1" x14ac:dyDescent="0.3">
      <c r="L144" s="7"/>
      <c r="M144" s="8"/>
      <c r="N144" s="48"/>
      <c r="O144" s="48"/>
      <c r="P144" s="48"/>
      <c r="Q144" s="48"/>
      <c r="R144" s="48"/>
      <c r="S144" s="48"/>
      <c r="T144" s="8"/>
      <c r="U144" s="12"/>
      <c r="X144" s="7"/>
      <c r="Y144" s="8"/>
      <c r="Z144" s="48"/>
      <c r="AA144" s="48"/>
      <c r="AB144" s="48"/>
      <c r="AC144" s="48"/>
      <c r="AD144" s="48"/>
      <c r="AE144" s="48"/>
      <c r="AF144" s="8"/>
      <c r="AG144" s="12"/>
      <c r="AI144" s="7"/>
      <c r="AJ144" s="8"/>
      <c r="AK144" s="48"/>
      <c r="AL144" s="48"/>
      <c r="AM144" s="48"/>
      <c r="AN144" s="48"/>
      <c r="AO144" s="48"/>
      <c r="AP144" s="48"/>
      <c r="AQ144" s="8"/>
      <c r="AR144" s="12"/>
      <c r="AT144" s="7"/>
      <c r="AU144" s="8"/>
      <c r="AV144" s="48"/>
      <c r="AW144" s="48"/>
      <c r="AX144" s="48"/>
      <c r="AY144" s="48"/>
      <c r="AZ144" s="48"/>
      <c r="BA144" s="48"/>
      <c r="BB144" s="8"/>
      <c r="BC144" s="12"/>
      <c r="BE144" s="7"/>
      <c r="BF144" s="8"/>
      <c r="BG144" s="48"/>
      <c r="BH144" s="48"/>
      <c r="BI144" s="48"/>
      <c r="BJ144" s="48"/>
      <c r="BK144" s="48"/>
      <c r="BL144" s="48"/>
      <c r="BM144" s="8"/>
      <c r="BN144" s="12"/>
    </row>
    <row r="145" spans="12:66" ht="15" customHeight="1" thickBot="1" x14ac:dyDescent="0.35">
      <c r="L145" s="9"/>
      <c r="M145" s="10"/>
      <c r="N145" s="49"/>
      <c r="O145" s="49"/>
      <c r="P145" s="49"/>
      <c r="Q145" s="49"/>
      <c r="R145" s="49"/>
      <c r="S145" s="49"/>
      <c r="T145" s="10"/>
      <c r="U145" s="13"/>
      <c r="X145" s="9"/>
      <c r="Y145" s="10"/>
      <c r="Z145" s="49"/>
      <c r="AA145" s="49"/>
      <c r="AB145" s="49"/>
      <c r="AC145" s="49"/>
      <c r="AD145" s="49"/>
      <c r="AE145" s="49"/>
      <c r="AF145" s="10"/>
      <c r="AG145" s="13"/>
      <c r="AI145" s="9"/>
      <c r="AJ145" s="10"/>
      <c r="AK145" s="49"/>
      <c r="AL145" s="49"/>
      <c r="AM145" s="49"/>
      <c r="AN145" s="49"/>
      <c r="AO145" s="49"/>
      <c r="AP145" s="49"/>
      <c r="AQ145" s="10"/>
      <c r="AR145" s="13"/>
      <c r="AT145" s="9"/>
      <c r="AU145" s="10"/>
      <c r="AV145" s="49"/>
      <c r="AW145" s="49"/>
      <c r="AX145" s="49"/>
      <c r="AY145" s="49"/>
      <c r="AZ145" s="49"/>
      <c r="BA145" s="49"/>
      <c r="BB145" s="10"/>
      <c r="BC145" s="13"/>
      <c r="BE145" s="9"/>
      <c r="BF145" s="10"/>
      <c r="BG145" s="49"/>
      <c r="BH145" s="49"/>
      <c r="BI145" s="49"/>
      <c r="BJ145" s="49"/>
      <c r="BK145" s="49"/>
      <c r="BL145" s="49"/>
      <c r="BM145" s="10"/>
      <c r="BN145" s="13"/>
    </row>
    <row r="146" spans="12:66" ht="15" customHeight="1" thickBot="1" x14ac:dyDescent="0.35">
      <c r="L146" s="1" t="s">
        <v>65</v>
      </c>
      <c r="X146" s="1" t="s">
        <v>66</v>
      </c>
      <c r="AI146" s="1" t="s">
        <v>67</v>
      </c>
      <c r="AJ146" s="1" t="s">
        <v>156</v>
      </c>
      <c r="AT146" s="1" t="s">
        <v>68</v>
      </c>
      <c r="AU146" s="1" t="s">
        <v>156</v>
      </c>
      <c r="BE146" s="1" t="s">
        <v>69</v>
      </c>
    </row>
    <row r="147" spans="12:66" ht="15" customHeight="1" x14ac:dyDescent="0.3">
      <c r="L147" s="5"/>
      <c r="M147" s="47"/>
      <c r="N147" s="47"/>
      <c r="O147" s="47"/>
      <c r="P147" s="47"/>
      <c r="Q147" s="47"/>
      <c r="R147" s="47"/>
      <c r="S147" s="47"/>
      <c r="T147" s="47"/>
      <c r="U147" s="11"/>
      <c r="X147" s="5"/>
      <c r="Y147" s="6"/>
      <c r="Z147" s="47"/>
      <c r="AA147" s="47"/>
      <c r="AB147" s="47"/>
      <c r="AC147" s="47"/>
      <c r="AD147" s="47"/>
      <c r="AE147" s="47"/>
      <c r="AF147" s="6"/>
      <c r="AG147" s="11"/>
      <c r="AI147" s="5"/>
      <c r="AJ147" s="6"/>
      <c r="AK147" s="47"/>
      <c r="AL147" s="47"/>
      <c r="AM147" s="47"/>
      <c r="AN147" s="47"/>
      <c r="AO147" s="47"/>
      <c r="AP147" s="47"/>
      <c r="AQ147" s="6"/>
      <c r="AR147" s="11"/>
      <c r="AT147" s="5"/>
      <c r="AU147" s="6"/>
      <c r="AV147" s="47"/>
      <c r="AW147" s="47"/>
      <c r="AX147" s="47"/>
      <c r="AY147" s="47"/>
      <c r="AZ147" s="47"/>
      <c r="BA147" s="47"/>
      <c r="BB147" s="6"/>
      <c r="BC147" s="11"/>
      <c r="BE147" s="5"/>
      <c r="BF147" s="6"/>
      <c r="BG147" s="6"/>
      <c r="BH147" s="6"/>
      <c r="BI147" s="6"/>
      <c r="BJ147" s="6"/>
      <c r="BK147" s="6"/>
      <c r="BL147" s="6"/>
      <c r="BM147" s="6"/>
      <c r="BN147" s="11"/>
    </row>
    <row r="148" spans="12:66" ht="15" customHeight="1" x14ac:dyDescent="0.3">
      <c r="L148" s="7"/>
      <c r="M148" s="102"/>
      <c r="N148" s="48"/>
      <c r="O148" s="48"/>
      <c r="P148" s="48"/>
      <c r="Q148" s="48"/>
      <c r="R148" s="48"/>
      <c r="S148" s="48"/>
      <c r="T148" s="15"/>
      <c r="U148" s="12"/>
      <c r="X148" s="7"/>
      <c r="Y148" s="8"/>
      <c r="Z148" s="48"/>
      <c r="AA148" s="48"/>
      <c r="AB148" s="48"/>
      <c r="AC148" s="48"/>
      <c r="AD148" s="48"/>
      <c r="AE148" s="48"/>
      <c r="AF148" s="8"/>
      <c r="AG148" s="12"/>
      <c r="AI148" s="7"/>
      <c r="AJ148" s="8"/>
      <c r="AK148" s="48"/>
      <c r="AL148" s="48"/>
      <c r="AM148" s="48"/>
      <c r="AN148" s="48"/>
      <c r="AO148" s="48"/>
      <c r="AP148" s="48"/>
      <c r="AQ148" s="8"/>
      <c r="AR148" s="12"/>
      <c r="AT148" s="7"/>
      <c r="AU148" s="8"/>
      <c r="AV148" s="48"/>
      <c r="AW148" s="48"/>
      <c r="AX148" s="48"/>
      <c r="AY148" s="48"/>
      <c r="AZ148" s="48"/>
      <c r="BA148" s="48"/>
      <c r="BB148" s="8"/>
      <c r="BC148" s="12"/>
      <c r="BE148" s="7"/>
      <c r="BF148" s="8"/>
      <c r="BG148" s="8"/>
      <c r="BH148" s="8"/>
      <c r="BI148" s="8"/>
      <c r="BJ148" s="8"/>
      <c r="BK148" s="8"/>
      <c r="BL148" s="8"/>
      <c r="BM148" s="8"/>
      <c r="BN148" s="12"/>
    </row>
    <row r="149" spans="12:66" ht="15" customHeight="1" x14ac:dyDescent="0.3">
      <c r="L149" s="7"/>
      <c r="M149" s="48"/>
      <c r="N149" s="102"/>
      <c r="O149" s="48"/>
      <c r="P149" s="48"/>
      <c r="Q149" s="48"/>
      <c r="R149" s="48"/>
      <c r="S149" s="15"/>
      <c r="T149" s="48"/>
      <c r="U149" s="12"/>
      <c r="X149" s="7"/>
      <c r="Y149" s="8"/>
      <c r="Z149" s="48"/>
      <c r="AA149" s="48"/>
      <c r="AB149" s="8"/>
      <c r="AC149" s="48"/>
      <c r="AD149" s="48"/>
      <c r="AE149" s="48"/>
      <c r="AF149" s="8"/>
      <c r="AG149" s="12"/>
      <c r="AI149" s="7"/>
      <c r="AJ149" s="8"/>
      <c r="AK149" s="48"/>
      <c r="AL149" s="48"/>
      <c r="AM149" s="48"/>
      <c r="AN149" s="48"/>
      <c r="AO149" s="48"/>
      <c r="AP149" s="8"/>
      <c r="AQ149" s="8"/>
      <c r="AR149" s="12"/>
      <c r="AT149" s="7"/>
      <c r="AU149" s="8"/>
      <c r="AV149" s="8"/>
      <c r="AW149" s="48"/>
      <c r="AX149" s="48"/>
      <c r="AY149" s="48"/>
      <c r="AZ149" s="48"/>
      <c r="BA149" s="48"/>
      <c r="BB149" s="8"/>
      <c r="BC149" s="12"/>
      <c r="BE149" s="7"/>
      <c r="BF149" s="8"/>
      <c r="BG149" s="8"/>
      <c r="BH149" s="8"/>
      <c r="BI149" s="8"/>
      <c r="BJ149" s="8"/>
      <c r="BK149" s="8"/>
      <c r="BL149" s="8"/>
      <c r="BM149" s="8"/>
      <c r="BN149" s="12"/>
    </row>
    <row r="150" spans="12:66" ht="15" customHeight="1" x14ac:dyDescent="0.3">
      <c r="L150" s="7"/>
      <c r="M150" s="48"/>
      <c r="N150" s="48"/>
      <c r="O150" s="102"/>
      <c r="P150" s="48"/>
      <c r="Q150" s="48"/>
      <c r="R150" s="15"/>
      <c r="S150" s="48"/>
      <c r="T150" s="48"/>
      <c r="U150" s="12"/>
      <c r="X150" s="7"/>
      <c r="Y150" s="8"/>
      <c r="Z150" s="48"/>
      <c r="AA150" s="48"/>
      <c r="AB150" s="48"/>
      <c r="AC150" s="48"/>
      <c r="AD150" s="48"/>
      <c r="AE150" s="48"/>
      <c r="AF150" s="8"/>
      <c r="AG150" s="12"/>
      <c r="AI150" s="7"/>
      <c r="AJ150" s="8"/>
      <c r="AK150" s="48"/>
      <c r="AL150" s="48"/>
      <c r="AM150" s="48"/>
      <c r="AN150" s="48"/>
      <c r="AO150" s="8"/>
      <c r="AP150" s="48"/>
      <c r="AQ150" s="8"/>
      <c r="AR150" s="12"/>
      <c r="AT150" s="7"/>
      <c r="AU150" s="8"/>
      <c r="AV150" s="48"/>
      <c r="AW150" s="8"/>
      <c r="AX150" s="48"/>
      <c r="AY150" s="48"/>
      <c r="AZ150" s="48"/>
      <c r="BA150" s="48"/>
      <c r="BB150" s="8"/>
      <c r="BC150" s="12"/>
      <c r="BE150" s="7"/>
      <c r="BF150" s="8"/>
      <c r="BG150" s="8"/>
      <c r="BH150" s="8"/>
      <c r="BI150" s="8"/>
      <c r="BJ150" s="8"/>
      <c r="BK150" s="8"/>
      <c r="BL150" s="8"/>
      <c r="BM150" s="8"/>
      <c r="BN150" s="12"/>
    </row>
    <row r="151" spans="12:66" ht="15" customHeight="1" x14ac:dyDescent="0.3">
      <c r="L151" s="7"/>
      <c r="M151" s="48"/>
      <c r="N151" s="48"/>
      <c r="O151" s="48"/>
      <c r="P151" s="79"/>
      <c r="Q151" s="79"/>
      <c r="R151" s="48"/>
      <c r="S151" s="48"/>
      <c r="T151" s="48"/>
      <c r="U151" s="12"/>
      <c r="X151" s="7"/>
      <c r="Y151" s="8"/>
      <c r="Z151" s="48"/>
      <c r="AA151" s="8"/>
      <c r="AB151" s="48"/>
      <c r="AC151" s="48"/>
      <c r="AD151" s="48"/>
      <c r="AE151" s="48"/>
      <c r="AF151" s="8"/>
      <c r="AG151" s="12"/>
      <c r="AI151" s="7"/>
      <c r="AJ151" s="8"/>
      <c r="AK151" s="48"/>
      <c r="AL151" s="48"/>
      <c r="AM151" s="48"/>
      <c r="AN151" s="8"/>
      <c r="AO151" s="48"/>
      <c r="AP151" s="48"/>
      <c r="AQ151" s="8"/>
      <c r="AR151" s="12"/>
      <c r="AT151" s="7"/>
      <c r="AU151" s="8"/>
      <c r="AV151" s="48"/>
      <c r="AW151" s="48"/>
      <c r="AX151" s="8"/>
      <c r="AY151" s="48"/>
      <c r="AZ151" s="48"/>
      <c r="BA151" s="48"/>
      <c r="BB151" s="8"/>
      <c r="BC151" s="12"/>
      <c r="BE151" s="7"/>
      <c r="BF151" s="8"/>
      <c r="BG151" s="8"/>
      <c r="BH151" s="8"/>
      <c r="BI151" s="8"/>
      <c r="BJ151" s="8"/>
      <c r="BK151" s="8"/>
      <c r="BL151" s="8"/>
      <c r="BM151" s="8"/>
      <c r="BN151" s="12"/>
    </row>
    <row r="152" spans="12:66" ht="15" customHeight="1" x14ac:dyDescent="0.3">
      <c r="L152" s="7"/>
      <c r="M152" s="48"/>
      <c r="N152" s="48"/>
      <c r="O152" s="48"/>
      <c r="P152" s="79"/>
      <c r="Q152" s="79"/>
      <c r="R152" s="48"/>
      <c r="S152" s="48"/>
      <c r="T152" s="48"/>
      <c r="U152" s="12"/>
      <c r="X152" s="7"/>
      <c r="Y152" s="8"/>
      <c r="Z152" s="48"/>
      <c r="AA152" s="48"/>
      <c r="AB152" s="48"/>
      <c r="AC152" s="48"/>
      <c r="AD152" s="48"/>
      <c r="AE152" s="48"/>
      <c r="AF152" s="8"/>
      <c r="AG152" s="12"/>
      <c r="AI152" s="7"/>
      <c r="AJ152" s="8"/>
      <c r="AK152" s="48"/>
      <c r="AL152" s="48"/>
      <c r="AM152" s="8"/>
      <c r="AN152" s="48"/>
      <c r="AO152" s="48"/>
      <c r="AP152" s="48"/>
      <c r="AQ152" s="8"/>
      <c r="AR152" s="12"/>
      <c r="AT152" s="7"/>
      <c r="AU152" s="8"/>
      <c r="AV152" s="48"/>
      <c r="AW152" s="48"/>
      <c r="AX152" s="48"/>
      <c r="AY152" s="48"/>
      <c r="AZ152" s="48"/>
      <c r="BA152" s="48"/>
      <c r="BB152" s="8"/>
      <c r="BC152" s="12"/>
      <c r="BE152" s="7"/>
      <c r="BF152" s="8"/>
      <c r="BG152" s="8"/>
      <c r="BH152" s="8"/>
      <c r="BI152" s="8"/>
      <c r="BJ152" s="8"/>
      <c r="BK152" s="8"/>
      <c r="BL152" s="8"/>
      <c r="BM152" s="8"/>
      <c r="BN152" s="12"/>
    </row>
    <row r="153" spans="12:66" ht="15" customHeight="1" x14ac:dyDescent="0.3">
      <c r="L153" s="7"/>
      <c r="M153" s="48"/>
      <c r="N153" s="48"/>
      <c r="O153" s="15"/>
      <c r="P153" s="48"/>
      <c r="Q153" s="48"/>
      <c r="R153" s="102"/>
      <c r="S153" s="48"/>
      <c r="T153" s="48"/>
      <c r="U153" s="12"/>
      <c r="X153" s="7"/>
      <c r="Y153" s="8"/>
      <c r="Z153" s="8"/>
      <c r="AA153" s="48"/>
      <c r="AB153" s="48"/>
      <c r="AC153" s="8"/>
      <c r="AD153" s="48"/>
      <c r="AE153" s="48"/>
      <c r="AF153" s="8"/>
      <c r="AG153" s="12"/>
      <c r="AI153" s="7"/>
      <c r="AJ153" s="8"/>
      <c r="AK153" s="48"/>
      <c r="AL153" s="8"/>
      <c r="AM153" s="48"/>
      <c r="AN153" s="48"/>
      <c r="AO153" s="48"/>
      <c r="AP153" s="48"/>
      <c r="AQ153" s="8"/>
      <c r="AR153" s="12"/>
      <c r="AT153" s="7"/>
      <c r="AU153" s="8"/>
      <c r="AV153" s="48"/>
      <c r="AW153" s="48"/>
      <c r="AX153" s="48"/>
      <c r="AY153" s="48"/>
      <c r="AZ153" s="48"/>
      <c r="BA153" s="48"/>
      <c r="BB153" s="8"/>
      <c r="BC153" s="12"/>
      <c r="BE153" s="7"/>
      <c r="BF153" s="8"/>
      <c r="BG153" s="8"/>
      <c r="BH153" s="8"/>
      <c r="BI153" s="8"/>
      <c r="BJ153" s="8"/>
      <c r="BK153" s="8"/>
      <c r="BL153" s="8"/>
      <c r="BM153" s="8"/>
      <c r="BN153" s="12"/>
    </row>
    <row r="154" spans="12:66" ht="15" customHeight="1" x14ac:dyDescent="0.3">
      <c r="L154" s="7"/>
      <c r="M154" s="48"/>
      <c r="N154" s="15"/>
      <c r="O154" s="48"/>
      <c r="P154" s="48"/>
      <c r="Q154" s="48"/>
      <c r="R154" s="48"/>
      <c r="S154" s="102"/>
      <c r="T154" s="48"/>
      <c r="U154" s="12"/>
      <c r="X154" s="7"/>
      <c r="Y154" s="8"/>
      <c r="Z154" s="8"/>
      <c r="AA154" s="48"/>
      <c r="AB154" s="48"/>
      <c r="AC154" s="48"/>
      <c r="AD154" s="8"/>
      <c r="AE154" s="48"/>
      <c r="AF154" s="8"/>
      <c r="AG154" s="12"/>
      <c r="AI154" s="7"/>
      <c r="AJ154" s="8"/>
      <c r="AK154" s="8"/>
      <c r="AL154" s="48"/>
      <c r="AM154" s="48"/>
      <c r="AN154" s="48"/>
      <c r="AO154" s="48"/>
      <c r="AP154" s="48"/>
      <c r="AQ154" s="8"/>
      <c r="AR154" s="12"/>
      <c r="AT154" s="7"/>
      <c r="AU154" s="8"/>
      <c r="AV154" s="48"/>
      <c r="AW154" s="48"/>
      <c r="AX154" s="48"/>
      <c r="AY154" s="48"/>
      <c r="AZ154" s="48"/>
      <c r="BA154" s="48"/>
      <c r="BB154" s="8"/>
      <c r="BC154" s="12"/>
      <c r="BE154" s="7"/>
      <c r="BF154" s="8"/>
      <c r="BG154" s="8"/>
      <c r="BH154" s="8"/>
      <c r="BI154" s="8"/>
      <c r="BJ154" s="8"/>
      <c r="BK154" s="8"/>
      <c r="BL154" s="8"/>
      <c r="BM154" s="8"/>
      <c r="BN154" s="12"/>
    </row>
    <row r="155" spans="12:66" ht="15" customHeight="1" x14ac:dyDescent="0.3">
      <c r="L155" s="7"/>
      <c r="M155" s="15"/>
      <c r="N155" s="48"/>
      <c r="O155" s="48"/>
      <c r="P155" s="48"/>
      <c r="Q155" s="48"/>
      <c r="R155" s="48"/>
      <c r="S155" s="48"/>
      <c r="T155" s="102"/>
      <c r="U155" s="12"/>
      <c r="X155" s="7"/>
      <c r="Y155" s="8"/>
      <c r="Z155" s="48"/>
      <c r="AA155" s="48"/>
      <c r="AB155" s="48"/>
      <c r="AC155" s="48"/>
      <c r="AD155" s="48"/>
      <c r="AE155" s="8"/>
      <c r="AF155" s="8"/>
      <c r="AG155" s="12"/>
      <c r="AI155" s="7"/>
      <c r="AJ155" s="8"/>
      <c r="AK155" s="48"/>
      <c r="AL155" s="48"/>
      <c r="AM155" s="48"/>
      <c r="AN155" s="48"/>
      <c r="AO155" s="48"/>
      <c r="AP155" s="48"/>
      <c r="AQ155" s="8"/>
      <c r="AR155" s="12"/>
      <c r="AT155" s="7"/>
      <c r="AU155" s="8"/>
      <c r="AV155" s="48"/>
      <c r="AW155" s="48"/>
      <c r="AX155" s="48"/>
      <c r="AY155" s="48"/>
      <c r="AZ155" s="48"/>
      <c r="BA155" s="48"/>
      <c r="BB155" s="8"/>
      <c r="BC155" s="12"/>
      <c r="BE155" s="7"/>
      <c r="BF155" s="8"/>
      <c r="BG155" s="8"/>
      <c r="BH155" s="8"/>
      <c r="BI155" s="8"/>
      <c r="BJ155" s="8"/>
      <c r="BK155" s="8"/>
      <c r="BL155" s="8"/>
      <c r="BM155" s="8"/>
      <c r="BN155" s="12"/>
    </row>
    <row r="156" spans="12:66" ht="15" customHeight="1" thickBot="1" x14ac:dyDescent="0.35">
      <c r="L156" s="9"/>
      <c r="M156" s="10"/>
      <c r="N156" s="10"/>
      <c r="O156" s="10"/>
      <c r="P156" s="10"/>
      <c r="Q156" s="10"/>
      <c r="R156" s="10"/>
      <c r="S156" s="10"/>
      <c r="T156" s="10"/>
      <c r="U156" s="13"/>
      <c r="X156" s="9"/>
      <c r="Y156" s="10"/>
      <c r="Z156" s="49"/>
      <c r="AA156" s="49"/>
      <c r="AB156" s="49"/>
      <c r="AC156" s="49"/>
      <c r="AD156" s="49"/>
      <c r="AE156" s="49"/>
      <c r="AF156" s="10"/>
      <c r="AG156" s="13"/>
      <c r="AI156" s="9"/>
      <c r="AJ156" s="10"/>
      <c r="AK156" s="49"/>
      <c r="AL156" s="49"/>
      <c r="AM156" s="49"/>
      <c r="AN156" s="49"/>
      <c r="AO156" s="49"/>
      <c r="AP156" s="49"/>
      <c r="AQ156" s="10"/>
      <c r="AR156" s="13"/>
      <c r="AT156" s="9"/>
      <c r="AU156" s="10"/>
      <c r="AV156" s="49"/>
      <c r="AW156" s="49"/>
      <c r="AX156" s="49"/>
      <c r="AY156" s="49"/>
      <c r="AZ156" s="49"/>
      <c r="BA156" s="49"/>
      <c r="BB156" s="10"/>
      <c r="BC156" s="13"/>
      <c r="BE156" s="9"/>
      <c r="BF156" s="10"/>
      <c r="BG156" s="10"/>
      <c r="BH156" s="10"/>
      <c r="BI156" s="10"/>
      <c r="BJ156" s="10"/>
      <c r="BK156" s="10"/>
      <c r="BL156" s="10"/>
      <c r="BM156" s="10"/>
      <c r="BN156" s="13"/>
    </row>
    <row r="157" spans="12:66" ht="15" customHeight="1" thickBot="1" x14ac:dyDescent="0.35">
      <c r="L157" s="1" t="s">
        <v>70</v>
      </c>
      <c r="M157" s="1" t="s">
        <v>158</v>
      </c>
      <c r="X157" s="1" t="s">
        <v>71</v>
      </c>
      <c r="Y157" s="1" t="s">
        <v>161</v>
      </c>
      <c r="AC157" s="133"/>
      <c r="AI157" s="1" t="s">
        <v>72</v>
      </c>
      <c r="AJ157" s="1" t="s">
        <v>162</v>
      </c>
      <c r="AT157" s="1" t="s">
        <v>73</v>
      </c>
      <c r="AU157" s="1" t="s">
        <v>162</v>
      </c>
      <c r="BE157" s="1" t="s">
        <v>74</v>
      </c>
      <c r="BF157" s="1" t="s">
        <v>171</v>
      </c>
    </row>
    <row r="158" spans="12:66" ht="15" customHeight="1" thickBot="1" x14ac:dyDescent="0.35">
      <c r="L158" s="5"/>
      <c r="M158" s="6"/>
      <c r="N158" s="47"/>
      <c r="O158" s="47"/>
      <c r="P158" s="47"/>
      <c r="Q158" s="47"/>
      <c r="R158" s="47"/>
      <c r="S158" s="47"/>
      <c r="T158" s="6"/>
      <c r="U158" s="11"/>
      <c r="X158" s="5"/>
      <c r="Y158" s="6"/>
      <c r="Z158" s="68"/>
      <c r="AA158" s="39"/>
      <c r="AB158" s="24"/>
      <c r="AC158" s="134"/>
      <c r="AD158" s="132"/>
      <c r="AE158" s="74"/>
      <c r="AF158" s="6"/>
      <c r="AG158" s="11"/>
    </row>
    <row r="159" spans="12:66" ht="15" customHeight="1" thickBot="1" x14ac:dyDescent="0.35">
      <c r="L159" s="7"/>
      <c r="M159" s="8"/>
      <c r="N159" s="48"/>
      <c r="O159" s="48"/>
      <c r="P159" s="48"/>
      <c r="Q159" s="48"/>
      <c r="R159" s="48"/>
      <c r="S159" s="48"/>
      <c r="T159" s="8"/>
      <c r="U159" s="12"/>
      <c r="X159" s="7"/>
      <c r="Y159" s="8"/>
      <c r="Z159" s="68"/>
      <c r="AA159" s="39"/>
      <c r="AB159" s="24"/>
      <c r="AC159" s="134"/>
      <c r="AD159" s="132"/>
      <c r="AE159" s="74"/>
      <c r="AF159" s="8"/>
      <c r="AG159" s="12"/>
    </row>
    <row r="160" spans="12:66" ht="15" customHeight="1" thickBot="1" x14ac:dyDescent="0.35">
      <c r="L160" s="7"/>
      <c r="M160" s="8"/>
      <c r="N160" s="48"/>
      <c r="O160" s="48"/>
      <c r="P160" s="48"/>
      <c r="Q160" s="48"/>
      <c r="R160" s="48"/>
      <c r="S160" s="48"/>
      <c r="T160" s="8"/>
      <c r="U160" s="12"/>
      <c r="X160" s="7"/>
      <c r="Y160" s="8"/>
      <c r="Z160" s="68"/>
      <c r="AA160" s="39"/>
      <c r="AB160" s="24"/>
      <c r="AC160" s="134"/>
      <c r="AD160" s="132"/>
      <c r="AE160" s="74"/>
      <c r="AF160" s="8"/>
      <c r="AG160" s="12"/>
    </row>
    <row r="161" spans="12:33" ht="15" customHeight="1" thickBot="1" x14ac:dyDescent="0.35">
      <c r="L161" s="7"/>
      <c r="M161" s="8"/>
      <c r="N161" s="48"/>
      <c r="O161" s="48"/>
      <c r="P161" s="15"/>
      <c r="Q161" s="48"/>
      <c r="R161" s="48"/>
      <c r="S161" s="48"/>
      <c r="T161" s="8"/>
      <c r="U161" s="12"/>
      <c r="X161" s="7"/>
      <c r="Y161" s="8"/>
      <c r="Z161" s="68"/>
      <c r="AA161" s="39"/>
      <c r="AB161" s="24"/>
      <c r="AC161" s="134"/>
      <c r="AD161" s="132"/>
      <c r="AE161" s="74"/>
      <c r="AF161" s="8"/>
      <c r="AG161" s="12"/>
    </row>
    <row r="162" spans="12:33" ht="15" customHeight="1" thickBot="1" x14ac:dyDescent="0.35">
      <c r="L162" s="7"/>
      <c r="M162" s="8"/>
      <c r="N162" s="48"/>
      <c r="O162" s="48"/>
      <c r="P162" s="15"/>
      <c r="Q162" s="15"/>
      <c r="R162" s="48"/>
      <c r="S162" s="48"/>
      <c r="T162" s="8"/>
      <c r="U162" s="12"/>
      <c r="X162" s="7"/>
      <c r="Y162" s="8"/>
      <c r="Z162" s="68"/>
      <c r="AA162" s="39"/>
      <c r="AB162" s="24"/>
      <c r="AC162" s="134"/>
      <c r="AD162" s="132"/>
      <c r="AE162" s="74"/>
      <c r="AF162" s="8"/>
      <c r="AG162" s="12"/>
    </row>
    <row r="163" spans="12:33" ht="15" customHeight="1" thickBot="1" x14ac:dyDescent="0.35">
      <c r="L163" s="7"/>
      <c r="M163" s="8"/>
      <c r="N163" s="48"/>
      <c r="O163" s="48"/>
      <c r="P163" s="15"/>
      <c r="Q163" s="15"/>
      <c r="R163" s="15"/>
      <c r="S163" s="48"/>
      <c r="T163" s="8"/>
      <c r="U163" s="12"/>
      <c r="X163" s="7"/>
      <c r="Y163" s="8"/>
      <c r="Z163" s="68"/>
      <c r="AA163" s="39"/>
      <c r="AB163" s="24"/>
      <c r="AC163" s="134"/>
      <c r="AD163" s="132"/>
      <c r="AE163" s="74"/>
      <c r="AF163" s="8"/>
      <c r="AG163" s="12"/>
    </row>
    <row r="164" spans="12:33" ht="15" customHeight="1" thickBot="1" x14ac:dyDescent="0.35">
      <c r="L164" s="7"/>
      <c r="M164" s="8"/>
      <c r="N164" s="48"/>
      <c r="O164" s="48"/>
      <c r="P164" s="48"/>
      <c r="Q164" s="48"/>
      <c r="R164" s="48"/>
      <c r="S164" s="48"/>
      <c r="T164" s="8"/>
      <c r="U164" s="12"/>
      <c r="X164" s="7"/>
      <c r="Y164" s="8"/>
      <c r="Z164" s="68"/>
      <c r="AA164" s="39"/>
      <c r="AB164" s="24"/>
      <c r="AC164" s="134"/>
      <c r="AD164" s="132"/>
      <c r="AE164" s="74"/>
      <c r="AF164" s="8"/>
      <c r="AG164" s="12"/>
    </row>
    <row r="165" spans="12:33" ht="15" customHeight="1" thickBot="1" x14ac:dyDescent="0.35">
      <c r="L165" s="7"/>
      <c r="M165" s="8"/>
      <c r="N165" s="48"/>
      <c r="O165" s="48"/>
      <c r="P165" s="48"/>
      <c r="Q165" s="48"/>
      <c r="R165" s="48"/>
      <c r="S165" s="48"/>
      <c r="T165" s="8"/>
      <c r="U165" s="12"/>
      <c r="X165" s="7"/>
      <c r="Y165" s="8"/>
      <c r="Z165" s="68"/>
      <c r="AA165" s="39"/>
      <c r="AB165" s="24"/>
      <c r="AC165" s="134"/>
      <c r="AD165" s="132"/>
      <c r="AE165" s="74"/>
      <c r="AF165" s="8"/>
      <c r="AG165" s="12"/>
    </row>
    <row r="166" spans="12:33" ht="15" customHeight="1" thickBot="1" x14ac:dyDescent="0.35">
      <c r="L166" s="7"/>
      <c r="M166" s="8"/>
      <c r="N166" s="48"/>
      <c r="O166" s="48"/>
      <c r="P166" s="48"/>
      <c r="Q166" s="48"/>
      <c r="R166" s="48"/>
      <c r="S166" s="48"/>
      <c r="T166" s="8"/>
      <c r="U166" s="12"/>
      <c r="X166" s="7"/>
      <c r="Y166" s="8"/>
      <c r="Z166" s="68"/>
      <c r="AA166" s="39"/>
      <c r="AB166" s="24"/>
      <c r="AC166" s="134"/>
      <c r="AD166" s="132"/>
      <c r="AE166" s="74"/>
      <c r="AF166" s="8"/>
      <c r="AG166" s="12"/>
    </row>
    <row r="167" spans="12:33" ht="15" customHeight="1" thickBot="1" x14ac:dyDescent="0.35">
      <c r="L167" s="9"/>
      <c r="M167" s="10"/>
      <c r="N167" s="49"/>
      <c r="O167" s="49"/>
      <c r="P167" s="49"/>
      <c r="Q167" s="49"/>
      <c r="R167" s="49"/>
      <c r="S167" s="49"/>
      <c r="T167" s="10"/>
      <c r="U167" s="13"/>
      <c r="X167" s="9"/>
      <c r="Y167" s="10"/>
      <c r="Z167" s="125"/>
      <c r="AA167" s="135"/>
      <c r="AB167" s="136"/>
      <c r="AC167" s="134"/>
      <c r="AD167" s="137"/>
      <c r="AE167" s="138"/>
      <c r="AF167" s="10"/>
      <c r="AG167" s="13"/>
    </row>
    <row r="168" spans="12:33" ht="15" customHeight="1" x14ac:dyDescent="0.3">
      <c r="L168" s="1" t="s">
        <v>75</v>
      </c>
      <c r="M168" s="1" t="s">
        <v>170</v>
      </c>
      <c r="X168" s="1" t="s">
        <v>274</v>
      </c>
      <c r="Y168" s="1" t="s">
        <v>392</v>
      </c>
    </row>
  </sheetData>
  <phoneticPr fontId="1" type="noConversion"/>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1FE7A-026A-4DC7-902B-30BB31078B52}">
  <dimension ref="C1:BO111"/>
  <sheetViews>
    <sheetView topLeftCell="H10" workbookViewId="0">
      <selection activeCell="AL31" sqref="AL31"/>
    </sheetView>
  </sheetViews>
  <sheetFormatPr defaultColWidth="2.77734375" defaultRowHeight="15" customHeight="1" x14ac:dyDescent="0.3"/>
  <cols>
    <col min="1" max="16384" width="2.77734375" style="1"/>
  </cols>
  <sheetData>
    <row r="1" spans="12:66" ht="15" customHeight="1" x14ac:dyDescent="0.3">
      <c r="L1" s="190" t="s">
        <v>275</v>
      </c>
      <c r="M1" s="190"/>
      <c r="N1" s="190"/>
      <c r="O1" s="190"/>
      <c r="P1" s="190"/>
      <c r="Q1" s="190"/>
      <c r="R1" s="190"/>
      <c r="S1" s="190"/>
      <c r="T1" s="190"/>
      <c r="U1" s="190"/>
      <c r="V1" s="190"/>
      <c r="W1" s="190"/>
      <c r="X1" s="190"/>
      <c r="Y1" s="190"/>
      <c r="Z1" s="190"/>
      <c r="AA1" s="190"/>
      <c r="AB1" s="190"/>
      <c r="AC1" s="190"/>
      <c r="AD1" s="190"/>
      <c r="AE1" s="190"/>
      <c r="AF1" s="190"/>
      <c r="AG1" s="190"/>
      <c r="AH1" s="190"/>
      <c r="AI1" s="190"/>
      <c r="AJ1" s="190"/>
      <c r="AK1" s="190"/>
      <c r="AL1" s="190"/>
      <c r="AM1" s="190"/>
      <c r="AN1" s="190"/>
      <c r="AO1" s="190"/>
      <c r="AP1" s="190"/>
      <c r="AQ1" s="190"/>
      <c r="AR1" s="190"/>
      <c r="AS1" s="190"/>
      <c r="AT1" s="190"/>
      <c r="AU1" s="190"/>
      <c r="AV1" s="190"/>
      <c r="AW1" s="190"/>
      <c r="AX1" s="190"/>
      <c r="AY1" s="190"/>
      <c r="AZ1" s="190"/>
      <c r="BA1" s="190"/>
      <c r="BB1" s="190"/>
      <c r="BC1" s="190"/>
      <c r="BD1" s="190"/>
      <c r="BE1" s="190"/>
      <c r="BF1" s="190"/>
      <c r="BG1" s="190"/>
      <c r="BH1" s="190"/>
      <c r="BI1" s="190"/>
      <c r="BJ1" s="190"/>
      <c r="BK1" s="190"/>
      <c r="BL1" s="190"/>
      <c r="BM1" s="190"/>
      <c r="BN1" s="190"/>
    </row>
    <row r="2" spans="12:66" ht="15" customHeight="1" x14ac:dyDescent="0.3">
      <c r="L2" s="190"/>
      <c r="M2" s="190"/>
      <c r="N2" s="190"/>
      <c r="O2" s="190"/>
      <c r="P2" s="190"/>
      <c r="Q2" s="190"/>
      <c r="R2" s="190"/>
      <c r="S2" s="190"/>
      <c r="T2" s="190"/>
      <c r="U2" s="190"/>
      <c r="V2" s="190"/>
      <c r="W2" s="190"/>
      <c r="X2" s="190"/>
      <c r="Y2" s="190"/>
      <c r="Z2" s="190"/>
      <c r="AA2" s="190"/>
      <c r="AB2" s="190"/>
      <c r="AC2" s="190"/>
      <c r="AD2" s="190"/>
      <c r="AE2" s="190"/>
      <c r="AF2" s="190"/>
      <c r="AG2" s="190"/>
      <c r="AH2" s="190"/>
      <c r="AI2" s="190"/>
      <c r="AJ2" s="190"/>
      <c r="AK2" s="190"/>
      <c r="AL2" s="190"/>
      <c r="AM2" s="190"/>
      <c r="AN2" s="190"/>
      <c r="AO2" s="190"/>
      <c r="AP2" s="190"/>
      <c r="AQ2" s="190"/>
      <c r="AR2" s="190"/>
      <c r="AS2" s="190"/>
      <c r="AT2" s="190"/>
      <c r="AU2" s="190"/>
      <c r="AV2" s="190"/>
      <c r="AW2" s="190"/>
      <c r="AX2" s="190"/>
      <c r="AY2" s="190"/>
      <c r="AZ2" s="190"/>
      <c r="BA2" s="190"/>
      <c r="BB2" s="190"/>
      <c r="BC2" s="190"/>
      <c r="BD2" s="190"/>
      <c r="BE2" s="190"/>
      <c r="BF2" s="190"/>
      <c r="BG2" s="190"/>
      <c r="BH2" s="190"/>
      <c r="BI2" s="190"/>
      <c r="BJ2" s="190"/>
      <c r="BK2" s="190"/>
      <c r="BL2" s="190"/>
      <c r="BM2" s="190"/>
      <c r="BN2" s="190"/>
    </row>
    <row r="3" spans="12:66" ht="15" customHeight="1" thickBot="1" x14ac:dyDescent="0.35">
      <c r="AU3" s="4"/>
      <c r="AV3" s="4"/>
      <c r="AW3" s="4"/>
      <c r="AX3" s="4"/>
      <c r="AY3" s="4"/>
    </row>
    <row r="4" spans="12:66" ht="15" customHeight="1" x14ac:dyDescent="0.3">
      <c r="L4" s="18"/>
      <c r="M4" s="2"/>
      <c r="N4" s="2"/>
      <c r="O4" s="2"/>
      <c r="P4" s="2"/>
      <c r="Q4" s="2"/>
      <c r="R4" s="2"/>
      <c r="S4" s="2"/>
      <c r="T4" s="2"/>
      <c r="U4" s="19"/>
      <c r="X4" s="18"/>
      <c r="Y4" s="2"/>
      <c r="Z4" s="2"/>
      <c r="AA4" s="6"/>
      <c r="AB4" s="6"/>
      <c r="AC4" s="6"/>
      <c r="AD4" s="6"/>
      <c r="AE4" s="2"/>
      <c r="AF4" s="2"/>
      <c r="AG4" s="19"/>
      <c r="AI4" s="18"/>
      <c r="AJ4" s="2"/>
      <c r="AK4" s="2"/>
      <c r="AL4" s="2"/>
      <c r="AM4" s="2"/>
      <c r="AN4" s="2"/>
      <c r="AO4" s="2"/>
      <c r="AP4" s="2"/>
      <c r="AQ4" s="2"/>
      <c r="AR4" s="19"/>
      <c r="AT4" s="18"/>
      <c r="AY4" s="8"/>
      <c r="AZ4" s="6"/>
      <c r="BA4" s="6"/>
      <c r="BB4" s="11"/>
      <c r="BC4" s="11"/>
      <c r="BE4" s="18"/>
      <c r="BF4" s="2"/>
      <c r="BG4" s="2"/>
      <c r="BH4" s="2"/>
      <c r="BI4" s="2"/>
      <c r="BJ4" s="2"/>
      <c r="BK4" s="2"/>
      <c r="BL4" s="2"/>
      <c r="BM4" s="2"/>
      <c r="BN4" s="19"/>
    </row>
    <row r="5" spans="12:66" ht="15" customHeight="1" x14ac:dyDescent="0.3">
      <c r="L5" s="20"/>
      <c r="M5" s="8"/>
      <c r="N5" s="8"/>
      <c r="O5" s="8"/>
      <c r="P5" s="8"/>
      <c r="Q5" s="8"/>
      <c r="R5" s="8"/>
      <c r="S5" s="8"/>
      <c r="T5" s="8"/>
      <c r="U5" s="3"/>
      <c r="X5" s="20"/>
      <c r="Z5" s="8"/>
      <c r="AA5" s="8"/>
      <c r="AB5" s="8"/>
      <c r="AC5" s="8"/>
      <c r="AD5" s="8"/>
      <c r="AE5" s="8"/>
      <c r="AG5" s="3"/>
      <c r="AI5" s="20"/>
      <c r="AJ5" s="8"/>
      <c r="AK5" s="8"/>
      <c r="AL5" s="8"/>
      <c r="AM5" s="8"/>
      <c r="AN5" s="8"/>
      <c r="AO5" s="8"/>
      <c r="AP5" s="8"/>
      <c r="AQ5" s="8"/>
      <c r="AR5" s="3"/>
      <c r="AT5" s="20"/>
      <c r="AV5" s="7"/>
      <c r="AW5" s="8"/>
      <c r="AX5" s="12"/>
      <c r="AY5" s="8"/>
      <c r="AZ5" s="8"/>
      <c r="BA5" s="8"/>
      <c r="BB5" s="12"/>
      <c r="BC5" s="12"/>
      <c r="BE5" s="20"/>
      <c r="BN5" s="3"/>
    </row>
    <row r="6" spans="12:66" ht="15" customHeight="1" x14ac:dyDescent="0.3">
      <c r="L6" s="20"/>
      <c r="M6" s="8"/>
      <c r="N6" s="8"/>
      <c r="O6" s="8"/>
      <c r="P6" s="8"/>
      <c r="Q6" s="8"/>
      <c r="R6" s="8"/>
      <c r="S6" s="8"/>
      <c r="T6" s="8"/>
      <c r="U6" s="3"/>
      <c r="X6" s="20"/>
      <c r="Y6" s="8"/>
      <c r="Z6" s="8"/>
      <c r="AA6" s="8"/>
      <c r="AB6" s="8"/>
      <c r="AC6" s="8"/>
      <c r="AD6" s="8"/>
      <c r="AE6" s="8"/>
      <c r="AF6" s="8"/>
      <c r="AG6" s="3"/>
      <c r="AI6" s="20"/>
      <c r="AJ6" s="8"/>
      <c r="AK6" s="8"/>
      <c r="AL6" s="8"/>
      <c r="AM6" s="8"/>
      <c r="AN6" s="8"/>
      <c r="AO6" s="8"/>
      <c r="AP6" s="8"/>
      <c r="AQ6" s="8"/>
      <c r="AR6" s="3"/>
      <c r="AT6" s="20"/>
      <c r="AU6" s="8"/>
      <c r="AV6" s="7"/>
      <c r="AW6" s="8"/>
      <c r="AX6" s="12"/>
      <c r="AY6" s="8"/>
      <c r="AZ6" s="8"/>
      <c r="BA6" s="8"/>
      <c r="BB6" s="8"/>
      <c r="BC6" s="12"/>
      <c r="BE6" s="20"/>
      <c r="BN6" s="3"/>
    </row>
    <row r="7" spans="12:66" ht="15" customHeight="1" thickBot="1" x14ac:dyDescent="0.35">
      <c r="L7" s="20"/>
      <c r="M7" s="8"/>
      <c r="N7" s="8"/>
      <c r="O7" s="8"/>
      <c r="P7" s="8"/>
      <c r="Q7" s="8"/>
      <c r="R7" s="8"/>
      <c r="S7" s="8"/>
      <c r="T7" s="8"/>
      <c r="U7" s="3"/>
      <c r="X7" s="7"/>
      <c r="Y7" s="8"/>
      <c r="Z7" s="8"/>
      <c r="AA7" s="8"/>
      <c r="AB7" s="8"/>
      <c r="AC7" s="8"/>
      <c r="AD7" s="8"/>
      <c r="AE7" s="8"/>
      <c r="AF7" s="8"/>
      <c r="AG7" s="12"/>
      <c r="AI7" s="20"/>
      <c r="AJ7" s="8"/>
      <c r="AK7" s="8"/>
      <c r="AL7" s="8"/>
      <c r="AM7" s="8"/>
      <c r="AN7" s="8"/>
      <c r="AO7" s="8"/>
      <c r="AP7" s="8"/>
      <c r="AQ7" s="8"/>
      <c r="AR7" s="3"/>
      <c r="AT7" s="20"/>
      <c r="AU7" s="8"/>
      <c r="AV7" s="9"/>
      <c r="AW7" s="10"/>
      <c r="AX7" s="13"/>
      <c r="AY7" s="8"/>
      <c r="AZ7" s="8"/>
      <c r="BC7" s="3"/>
      <c r="BE7" s="20"/>
      <c r="BJ7" s="8"/>
      <c r="BK7" s="8"/>
      <c r="BN7" s="3"/>
    </row>
    <row r="8" spans="12:66" ht="15" customHeight="1" x14ac:dyDescent="0.3">
      <c r="L8" s="20"/>
      <c r="M8" s="8"/>
      <c r="N8" s="8"/>
      <c r="O8" s="8"/>
      <c r="P8" s="8"/>
      <c r="Q8" s="8"/>
      <c r="R8" s="8"/>
      <c r="S8" s="8"/>
      <c r="T8" s="8"/>
      <c r="U8" s="3"/>
      <c r="X8" s="7"/>
      <c r="Y8" s="8"/>
      <c r="Z8" s="8"/>
      <c r="AA8" s="8"/>
      <c r="AB8" s="8"/>
      <c r="AC8" s="8"/>
      <c r="AD8" s="8"/>
      <c r="AE8" s="8"/>
      <c r="AF8" s="8"/>
      <c r="AG8" s="12"/>
      <c r="AI8" s="20"/>
      <c r="AJ8" s="8"/>
      <c r="AK8" s="8"/>
      <c r="AL8" s="8"/>
      <c r="AM8" s="8"/>
      <c r="AN8" s="8"/>
      <c r="AO8" s="8"/>
      <c r="AP8" s="8"/>
      <c r="AQ8" s="8"/>
      <c r="AR8" s="3"/>
      <c r="AT8" s="20"/>
      <c r="AU8" s="8"/>
      <c r="AV8" s="8"/>
      <c r="AW8" s="8"/>
      <c r="AX8" s="8"/>
      <c r="BC8" s="3"/>
      <c r="BE8" s="20"/>
      <c r="BI8" s="8"/>
      <c r="BJ8" s="8"/>
      <c r="BK8" s="8"/>
      <c r="BN8" s="3"/>
    </row>
    <row r="9" spans="12:66" ht="15" customHeight="1" x14ac:dyDescent="0.3">
      <c r="L9" s="20"/>
      <c r="M9" s="8"/>
      <c r="N9" s="8"/>
      <c r="O9" s="8"/>
      <c r="P9" s="8"/>
      <c r="Q9" s="8"/>
      <c r="R9" s="8"/>
      <c r="S9" s="8"/>
      <c r="T9" s="8"/>
      <c r="U9" s="3"/>
      <c r="X9" s="7"/>
      <c r="Y9" s="8"/>
      <c r="Z9" s="8"/>
      <c r="AA9" s="8"/>
      <c r="AB9" s="8"/>
      <c r="AC9" s="8"/>
      <c r="AD9" s="8"/>
      <c r="AE9" s="8"/>
      <c r="AF9" s="8"/>
      <c r="AG9" s="12"/>
      <c r="AI9" s="20"/>
      <c r="AJ9" s="8"/>
      <c r="AK9" s="8"/>
      <c r="AL9" s="8"/>
      <c r="AM9" s="8"/>
      <c r="AN9" s="8"/>
      <c r="AO9" s="8"/>
      <c r="AP9" s="8"/>
      <c r="AQ9" s="8"/>
      <c r="AR9" s="3"/>
      <c r="AT9" s="7"/>
      <c r="AU9" s="8"/>
      <c r="AV9" s="8"/>
      <c r="AW9" s="8"/>
      <c r="BC9" s="3"/>
      <c r="BE9" s="20"/>
      <c r="BH9" s="8"/>
      <c r="BI9" s="8"/>
      <c r="BJ9" s="8"/>
      <c r="BK9" s="8"/>
      <c r="BN9" s="3"/>
    </row>
    <row r="10" spans="12:66" ht="15" customHeight="1" x14ac:dyDescent="0.3">
      <c r="L10" s="20"/>
      <c r="M10" s="8"/>
      <c r="N10" s="8"/>
      <c r="O10" s="8"/>
      <c r="P10" s="8"/>
      <c r="Q10" s="8"/>
      <c r="R10" s="8"/>
      <c r="S10" s="8"/>
      <c r="T10" s="8"/>
      <c r="U10" s="3"/>
      <c r="X10" s="7"/>
      <c r="Y10" s="8"/>
      <c r="Z10" s="8"/>
      <c r="AA10" s="8"/>
      <c r="AB10" s="8"/>
      <c r="AC10" s="8"/>
      <c r="AD10" s="8"/>
      <c r="AE10" s="8"/>
      <c r="AF10" s="8"/>
      <c r="AG10" s="12"/>
      <c r="AI10" s="20"/>
      <c r="AJ10" s="8"/>
      <c r="AK10" s="8"/>
      <c r="AL10" s="8"/>
      <c r="AM10" s="8"/>
      <c r="AN10" s="8"/>
      <c r="AO10" s="8"/>
      <c r="AP10" s="8"/>
      <c r="AQ10" s="8"/>
      <c r="AR10" s="3"/>
      <c r="AT10" s="7"/>
      <c r="AU10" s="8"/>
      <c r="AV10" s="8"/>
      <c r="AW10" s="8"/>
      <c r="BC10" s="3"/>
      <c r="BE10" s="20"/>
      <c r="BH10" s="8"/>
      <c r="BI10" s="8"/>
      <c r="BJ10" s="8"/>
      <c r="BK10" s="8"/>
      <c r="BN10" s="3"/>
    </row>
    <row r="11" spans="12:66" ht="15" customHeight="1" x14ac:dyDescent="0.3">
      <c r="L11" s="20"/>
      <c r="M11" s="8"/>
      <c r="N11" s="8"/>
      <c r="O11" s="8"/>
      <c r="P11" s="8"/>
      <c r="Q11" s="8"/>
      <c r="R11" s="8"/>
      <c r="S11" s="8"/>
      <c r="T11" s="8"/>
      <c r="U11" s="3"/>
      <c r="X11" s="20"/>
      <c r="Y11" s="8"/>
      <c r="Z11" s="8"/>
      <c r="AA11" s="8"/>
      <c r="AB11" s="8"/>
      <c r="AC11" s="8"/>
      <c r="AD11" s="8"/>
      <c r="AE11" s="8"/>
      <c r="AF11" s="8"/>
      <c r="AG11" s="3"/>
      <c r="AI11" s="20"/>
      <c r="AJ11" s="8"/>
      <c r="AK11" s="8"/>
      <c r="AL11" s="8"/>
      <c r="AM11" s="8"/>
      <c r="AN11" s="8"/>
      <c r="AO11" s="8"/>
      <c r="AP11" s="8"/>
      <c r="AQ11" s="8"/>
      <c r="AR11" s="3"/>
      <c r="AT11" s="7"/>
      <c r="AU11" s="8"/>
      <c r="AV11" s="8"/>
      <c r="BC11" s="3"/>
      <c r="BE11" s="20"/>
      <c r="BN11" s="3"/>
    </row>
    <row r="12" spans="12:66" ht="15" customHeight="1" x14ac:dyDescent="0.3">
      <c r="L12" s="20"/>
      <c r="M12" s="8"/>
      <c r="N12" s="8"/>
      <c r="O12" s="8"/>
      <c r="P12" s="8"/>
      <c r="Q12" s="8"/>
      <c r="R12" s="8"/>
      <c r="S12" s="8"/>
      <c r="T12" s="8"/>
      <c r="U12" s="3"/>
      <c r="X12" s="20"/>
      <c r="Z12" s="8"/>
      <c r="AA12" s="8"/>
      <c r="AB12" s="8"/>
      <c r="AC12" s="8"/>
      <c r="AD12" s="8"/>
      <c r="AE12" s="8"/>
      <c r="AG12" s="3"/>
      <c r="AI12" s="20"/>
      <c r="AJ12" s="8"/>
      <c r="AK12" s="8"/>
      <c r="AL12" s="8"/>
      <c r="AM12" s="8"/>
      <c r="AN12" s="8"/>
      <c r="AO12" s="8"/>
      <c r="AP12" s="8"/>
      <c r="AQ12" s="8"/>
      <c r="AR12" s="3"/>
      <c r="AT12" s="7"/>
      <c r="AU12" s="8"/>
      <c r="AV12" s="8"/>
      <c r="BC12" s="3"/>
      <c r="BE12" s="20"/>
      <c r="BN12" s="3"/>
    </row>
    <row r="13" spans="12:66" ht="15" customHeight="1" thickBot="1" x14ac:dyDescent="0.35">
      <c r="L13" s="21"/>
      <c r="M13" s="4"/>
      <c r="N13" s="4"/>
      <c r="O13" s="4"/>
      <c r="P13" s="4"/>
      <c r="Q13" s="4"/>
      <c r="R13" s="4"/>
      <c r="S13" s="4"/>
      <c r="T13" s="4"/>
      <c r="U13" s="22"/>
      <c r="X13" s="21"/>
      <c r="Y13" s="4"/>
      <c r="Z13" s="4"/>
      <c r="AA13" s="10"/>
      <c r="AB13" s="10"/>
      <c r="AC13" s="10"/>
      <c r="AD13" s="10"/>
      <c r="AE13" s="4"/>
      <c r="AF13" s="4"/>
      <c r="AG13" s="22"/>
      <c r="AI13" s="21"/>
      <c r="AJ13" s="4"/>
      <c r="AK13" s="4"/>
      <c r="AL13" s="4"/>
      <c r="AM13" s="4"/>
      <c r="AN13" s="4"/>
      <c r="AO13" s="4"/>
      <c r="AP13" s="4"/>
      <c r="AQ13" s="4"/>
      <c r="AR13" s="22"/>
      <c r="AT13" s="9"/>
      <c r="AU13" s="10"/>
      <c r="AV13" s="10"/>
      <c r="AW13" s="4"/>
      <c r="AX13" s="4"/>
      <c r="AY13" s="4"/>
      <c r="AZ13" s="4"/>
      <c r="BA13" s="4"/>
      <c r="BB13" s="4"/>
      <c r="BC13" s="22"/>
      <c r="BE13" s="21"/>
      <c r="BF13" s="4"/>
      <c r="BG13" s="4"/>
      <c r="BH13" s="4"/>
      <c r="BI13" s="4"/>
      <c r="BJ13" s="4"/>
      <c r="BK13" s="4"/>
      <c r="BL13" s="4"/>
      <c r="BM13" s="4"/>
      <c r="BN13" s="22"/>
    </row>
    <row r="14" spans="12:66" ht="15" customHeight="1" thickBot="1" x14ac:dyDescent="0.35">
      <c r="L14" s="1" t="s">
        <v>274</v>
      </c>
      <c r="M14" s="1" t="s">
        <v>269</v>
      </c>
      <c r="X14" s="1" t="s">
        <v>393</v>
      </c>
      <c r="Y14" s="1" t="s">
        <v>270</v>
      </c>
      <c r="AI14" s="1" t="s">
        <v>394</v>
      </c>
      <c r="AJ14" s="1" t="s">
        <v>271</v>
      </c>
      <c r="AT14" s="1" t="s">
        <v>395</v>
      </c>
      <c r="AU14" s="1" t="s">
        <v>272</v>
      </c>
      <c r="BE14" s="1" t="s">
        <v>396</v>
      </c>
      <c r="BF14" s="1" t="s">
        <v>273</v>
      </c>
    </row>
    <row r="15" spans="12:66" ht="15" customHeight="1" x14ac:dyDescent="0.3">
      <c r="L15" s="18"/>
      <c r="M15" s="2"/>
      <c r="N15" s="2"/>
      <c r="O15" s="6"/>
      <c r="P15" s="6"/>
      <c r="Q15" s="6"/>
      <c r="R15" s="6"/>
      <c r="S15" s="2"/>
      <c r="T15" s="2"/>
      <c r="U15" s="19"/>
      <c r="X15" s="18"/>
      <c r="Y15" s="2"/>
      <c r="Z15" s="2"/>
      <c r="AA15" s="2"/>
      <c r="AB15" s="2"/>
      <c r="AC15" s="2"/>
      <c r="AD15" s="2"/>
      <c r="AE15" s="2"/>
      <c r="AF15" s="2"/>
      <c r="AG15" s="19"/>
      <c r="AI15" s="18"/>
      <c r="AJ15" s="2"/>
      <c r="AK15" s="2"/>
      <c r="AL15" s="6"/>
      <c r="AM15" s="6"/>
      <c r="AN15" s="6"/>
      <c r="AO15" s="6"/>
      <c r="AP15" s="2"/>
      <c r="AQ15" s="2"/>
      <c r="AR15" s="19"/>
      <c r="AT15" s="18"/>
      <c r="AU15" s="2"/>
      <c r="AV15" s="2"/>
      <c r="AW15" s="2"/>
      <c r="AX15" s="2"/>
      <c r="AY15" s="2"/>
      <c r="AZ15" s="2"/>
      <c r="BA15" s="2"/>
      <c r="BB15" s="2"/>
      <c r="BC15" s="19"/>
      <c r="BE15" s="18"/>
      <c r="BF15" s="2"/>
      <c r="BG15" s="2"/>
      <c r="BH15" s="105"/>
      <c r="BI15" s="105"/>
      <c r="BJ15" s="105"/>
      <c r="BK15" s="105"/>
      <c r="BL15" s="2"/>
      <c r="BM15" s="2"/>
      <c r="BN15" s="19"/>
    </row>
    <row r="16" spans="12:66" ht="15" customHeight="1" x14ac:dyDescent="0.3">
      <c r="L16" s="20"/>
      <c r="N16" s="8"/>
      <c r="O16" s="8"/>
      <c r="P16" s="142"/>
      <c r="Q16" s="142"/>
      <c r="R16" s="8"/>
      <c r="S16" s="8"/>
      <c r="U16" s="3"/>
      <c r="X16" s="20"/>
      <c r="Y16" s="8"/>
      <c r="Z16" s="8"/>
      <c r="AA16" s="8"/>
      <c r="AB16" s="8"/>
      <c r="AC16" s="8"/>
      <c r="AD16" s="8"/>
      <c r="AE16" s="8"/>
      <c r="AF16" s="8"/>
      <c r="AG16" s="3"/>
      <c r="AI16" s="20"/>
      <c r="AK16" s="8"/>
      <c r="AL16" s="8"/>
      <c r="AM16" s="8"/>
      <c r="AN16" s="8"/>
      <c r="AO16" s="8"/>
      <c r="AP16" s="8"/>
      <c r="AR16" s="3"/>
      <c r="AT16" s="20"/>
      <c r="AU16" s="8"/>
      <c r="AV16" s="108"/>
      <c r="AW16" s="8"/>
      <c r="AX16" s="108"/>
      <c r="AY16" s="8"/>
      <c r="AZ16" s="108"/>
      <c r="BA16" s="8"/>
      <c r="BB16" s="108"/>
      <c r="BC16" s="3"/>
      <c r="BE16" s="20"/>
      <c r="BG16" s="102"/>
      <c r="BH16" s="102"/>
      <c r="BI16" s="102"/>
      <c r="BJ16" s="102"/>
      <c r="BK16" s="102"/>
      <c r="BL16" s="102"/>
      <c r="BN16" s="3"/>
    </row>
    <row r="17" spans="3:66" ht="15" customHeight="1" x14ac:dyDescent="0.3">
      <c r="L17" s="20"/>
      <c r="M17" s="8"/>
      <c r="N17" s="142"/>
      <c r="O17" s="142"/>
      <c r="P17" s="142"/>
      <c r="Q17" s="142"/>
      <c r="R17" s="142"/>
      <c r="S17" s="142"/>
      <c r="T17" s="8"/>
      <c r="U17" s="3"/>
      <c r="X17" s="20"/>
      <c r="Y17" s="8"/>
      <c r="Z17" s="8"/>
      <c r="AA17" s="8"/>
      <c r="AB17" s="8"/>
      <c r="AC17" s="8"/>
      <c r="AD17" s="8"/>
      <c r="AE17" s="8"/>
      <c r="AF17" s="8"/>
      <c r="AG17" s="3"/>
      <c r="AI17" s="20"/>
      <c r="AJ17" s="8"/>
      <c r="AK17" s="65"/>
      <c r="AL17" s="65"/>
      <c r="AM17" s="65"/>
      <c r="AN17" s="65"/>
      <c r="AO17" s="65"/>
      <c r="AP17" s="65"/>
      <c r="AQ17" s="8"/>
      <c r="AR17" s="3"/>
      <c r="AT17" s="20"/>
      <c r="AU17" s="107"/>
      <c r="AV17" s="76"/>
      <c r="AW17" s="107"/>
      <c r="AX17" s="76"/>
      <c r="AY17" s="107"/>
      <c r="AZ17" s="76"/>
      <c r="BA17" s="107"/>
      <c r="BB17" s="76"/>
      <c r="BC17" s="3"/>
      <c r="BE17" s="20"/>
      <c r="BF17" s="102"/>
      <c r="BG17" s="102"/>
      <c r="BH17" s="102"/>
      <c r="BI17" s="102"/>
      <c r="BJ17" s="102"/>
      <c r="BK17" s="102"/>
      <c r="BL17" s="102"/>
      <c r="BM17" s="102"/>
      <c r="BN17" s="3"/>
    </row>
    <row r="18" spans="3:66" ht="15" customHeight="1" x14ac:dyDescent="0.3">
      <c r="L18" s="7"/>
      <c r="M18" s="8"/>
      <c r="N18" s="142"/>
      <c r="O18" s="143"/>
      <c r="P18" s="143"/>
      <c r="Q18" s="143"/>
      <c r="R18" s="143"/>
      <c r="S18" s="142"/>
      <c r="T18" s="8"/>
      <c r="U18" s="12"/>
      <c r="X18" s="20"/>
      <c r="Y18" s="8"/>
      <c r="Z18" s="8"/>
      <c r="AA18" s="8"/>
      <c r="AB18" s="8"/>
      <c r="AC18" s="8"/>
      <c r="AD18" s="8"/>
      <c r="AE18" s="8"/>
      <c r="AF18" s="8"/>
      <c r="AG18" s="3"/>
      <c r="AI18" s="7"/>
      <c r="AJ18" s="8"/>
      <c r="AK18" s="65"/>
      <c r="AL18" s="142"/>
      <c r="AM18" s="142"/>
      <c r="AN18" s="142"/>
      <c r="AO18" s="142"/>
      <c r="AP18" s="65"/>
      <c r="AQ18" s="8"/>
      <c r="AR18" s="12"/>
      <c r="AT18" s="20"/>
      <c r="AU18" s="8"/>
      <c r="AV18" s="108"/>
      <c r="AW18" s="8"/>
      <c r="AX18" s="108"/>
      <c r="AY18" s="8"/>
      <c r="AZ18" s="108"/>
      <c r="BA18" s="8"/>
      <c r="BB18" s="108"/>
      <c r="BC18" s="3"/>
      <c r="BE18" s="189"/>
      <c r="BF18" s="102"/>
      <c r="BG18" s="102"/>
      <c r="BH18" s="102"/>
      <c r="BI18" s="102"/>
      <c r="BJ18" s="102"/>
      <c r="BK18" s="102"/>
      <c r="BL18" s="102"/>
      <c r="BM18" s="102"/>
      <c r="BN18" s="103"/>
    </row>
    <row r="19" spans="3:66" ht="15" customHeight="1" x14ac:dyDescent="0.3">
      <c r="L19" s="7"/>
      <c r="M19" s="142"/>
      <c r="N19" s="142"/>
      <c r="O19" s="143"/>
      <c r="P19" s="144"/>
      <c r="Q19" s="144"/>
      <c r="R19" s="143"/>
      <c r="S19" s="142"/>
      <c r="T19" s="142"/>
      <c r="U19" s="12"/>
      <c r="X19" s="20"/>
      <c r="Y19" s="8"/>
      <c r="Z19" s="8"/>
      <c r="AA19" s="8"/>
      <c r="AB19" s="8"/>
      <c r="AC19" s="8"/>
      <c r="AD19" s="8"/>
      <c r="AE19" s="8"/>
      <c r="AF19" s="8"/>
      <c r="AG19" s="3"/>
      <c r="AI19" s="7"/>
      <c r="AJ19" s="8"/>
      <c r="AK19" s="65"/>
      <c r="AL19" s="142"/>
      <c r="AM19" s="142"/>
      <c r="AN19" s="142"/>
      <c r="AO19" s="142"/>
      <c r="AP19" s="65"/>
      <c r="AQ19" s="8"/>
      <c r="AR19" s="12"/>
      <c r="AT19" s="20"/>
      <c r="AU19" s="107"/>
      <c r="AV19" s="76"/>
      <c r="AW19" s="107"/>
      <c r="AX19" s="76"/>
      <c r="AY19" s="107"/>
      <c r="AZ19" s="76"/>
      <c r="BA19" s="107"/>
      <c r="BB19" s="76"/>
      <c r="BC19" s="3"/>
      <c r="BE19" s="189"/>
      <c r="BF19" s="102"/>
      <c r="BG19" s="102"/>
      <c r="BH19" s="102"/>
      <c r="BI19" s="102"/>
      <c r="BJ19" s="102"/>
      <c r="BK19" s="102"/>
      <c r="BL19" s="102"/>
      <c r="BM19" s="102"/>
      <c r="BN19" s="103"/>
    </row>
    <row r="20" spans="3:66" ht="15" customHeight="1" x14ac:dyDescent="0.3">
      <c r="L20" s="7"/>
      <c r="M20" s="142"/>
      <c r="N20" s="142"/>
      <c r="O20" s="143"/>
      <c r="P20" s="144"/>
      <c r="Q20" s="144"/>
      <c r="R20" s="143"/>
      <c r="S20" s="142"/>
      <c r="T20" s="142"/>
      <c r="U20" s="12"/>
      <c r="X20" s="20"/>
      <c r="Y20" s="8"/>
      <c r="Z20" s="8"/>
      <c r="AA20" s="8"/>
      <c r="AB20" s="8"/>
      <c r="AC20" s="8"/>
      <c r="AD20" s="8"/>
      <c r="AE20" s="8"/>
      <c r="AF20" s="8"/>
      <c r="AG20" s="3"/>
      <c r="AI20" s="7"/>
      <c r="AJ20" s="8"/>
      <c r="AK20" s="65"/>
      <c r="AL20" s="142"/>
      <c r="AM20" s="142"/>
      <c r="AN20" s="142"/>
      <c r="AO20" s="142"/>
      <c r="AP20" s="65"/>
      <c r="AQ20" s="8"/>
      <c r="AR20" s="12"/>
      <c r="AT20" s="20"/>
      <c r="AU20" s="8"/>
      <c r="AV20" s="108"/>
      <c r="AW20" s="8"/>
      <c r="AX20" s="108"/>
      <c r="AY20" s="8"/>
      <c r="AZ20" s="108"/>
      <c r="BA20" s="8"/>
      <c r="BB20" s="108"/>
      <c r="BC20" s="3"/>
      <c r="BE20" s="189"/>
      <c r="BF20" s="102"/>
      <c r="BG20" s="102"/>
      <c r="BH20" s="102"/>
      <c r="BI20" s="102"/>
      <c r="BJ20" s="102"/>
      <c r="BK20" s="102"/>
      <c r="BL20" s="102"/>
      <c r="BM20" s="102"/>
      <c r="BN20" s="103"/>
    </row>
    <row r="21" spans="3:66" ht="15" customHeight="1" x14ac:dyDescent="0.3">
      <c r="L21" s="7"/>
      <c r="M21" s="8"/>
      <c r="N21" s="142"/>
      <c r="O21" s="143"/>
      <c r="P21" s="143"/>
      <c r="Q21" s="143"/>
      <c r="R21" s="143"/>
      <c r="S21" s="142"/>
      <c r="T21" s="8"/>
      <c r="U21" s="12"/>
      <c r="X21" s="20"/>
      <c r="Y21" s="8"/>
      <c r="Z21" s="8"/>
      <c r="AA21" s="8"/>
      <c r="AB21" s="8"/>
      <c r="AC21" s="8"/>
      <c r="AD21" s="8"/>
      <c r="AE21" s="8"/>
      <c r="AF21" s="8"/>
      <c r="AG21" s="3"/>
      <c r="AI21" s="7"/>
      <c r="AJ21" s="8"/>
      <c r="AK21" s="65"/>
      <c r="AL21" s="142"/>
      <c r="AM21" s="142"/>
      <c r="AN21" s="142"/>
      <c r="AO21" s="142"/>
      <c r="AP21" s="65"/>
      <c r="AQ21" s="8"/>
      <c r="AR21" s="12"/>
      <c r="AT21" s="20"/>
      <c r="AU21" s="107"/>
      <c r="AV21" s="76"/>
      <c r="AW21" s="107"/>
      <c r="AX21" s="76"/>
      <c r="AY21" s="107"/>
      <c r="AZ21" s="76"/>
      <c r="BA21" s="107"/>
      <c r="BB21" s="76"/>
      <c r="BC21" s="3"/>
      <c r="BE21" s="189"/>
      <c r="BF21" s="102"/>
      <c r="BG21" s="102"/>
      <c r="BH21" s="102"/>
      <c r="BI21" s="102"/>
      <c r="BJ21" s="102"/>
      <c r="BK21" s="102"/>
      <c r="BL21" s="102"/>
      <c r="BM21" s="102"/>
      <c r="BN21" s="103"/>
    </row>
    <row r="22" spans="3:66" ht="15" customHeight="1" x14ac:dyDescent="0.3">
      <c r="L22" s="20"/>
      <c r="M22" s="8"/>
      <c r="N22" s="142"/>
      <c r="O22" s="142"/>
      <c r="P22" s="142"/>
      <c r="Q22" s="142"/>
      <c r="R22" s="142"/>
      <c r="S22" s="142"/>
      <c r="T22" s="8"/>
      <c r="U22" s="3"/>
      <c r="X22" s="20"/>
      <c r="Y22" s="8"/>
      <c r="Z22" s="8"/>
      <c r="AA22" s="8"/>
      <c r="AB22" s="8"/>
      <c r="AC22" s="8"/>
      <c r="AD22" s="8"/>
      <c r="AE22" s="8"/>
      <c r="AF22" s="8"/>
      <c r="AG22" s="3"/>
      <c r="AI22" s="20"/>
      <c r="AJ22" s="8"/>
      <c r="AK22" s="65"/>
      <c r="AL22" s="65"/>
      <c r="AM22" s="65"/>
      <c r="AN22" s="65"/>
      <c r="AO22" s="65"/>
      <c r="AP22" s="65"/>
      <c r="AQ22" s="8"/>
      <c r="AR22" s="3"/>
      <c r="AT22" s="20"/>
      <c r="AU22" s="8"/>
      <c r="AV22" s="108"/>
      <c r="AW22" s="8"/>
      <c r="AX22" s="108"/>
      <c r="AY22" s="8"/>
      <c r="AZ22" s="108"/>
      <c r="BA22" s="8"/>
      <c r="BB22" s="108"/>
      <c r="BC22" s="3"/>
      <c r="BE22" s="20"/>
      <c r="BF22" s="102"/>
      <c r="BG22" s="102"/>
      <c r="BH22" s="102"/>
      <c r="BI22" s="102"/>
      <c r="BJ22" s="102"/>
      <c r="BK22" s="102"/>
      <c r="BL22" s="102"/>
      <c r="BM22" s="102"/>
      <c r="BN22" s="3"/>
    </row>
    <row r="23" spans="3:66" ht="15" customHeight="1" x14ac:dyDescent="0.3">
      <c r="L23" s="20"/>
      <c r="N23" s="8"/>
      <c r="O23" s="8"/>
      <c r="P23" s="142"/>
      <c r="Q23" s="142"/>
      <c r="R23" s="8"/>
      <c r="S23" s="8"/>
      <c r="U23" s="3"/>
      <c r="X23" s="20"/>
      <c r="Y23" s="8"/>
      <c r="Z23" s="8"/>
      <c r="AA23" s="8"/>
      <c r="AB23" s="8"/>
      <c r="AC23" s="8"/>
      <c r="AD23" s="8"/>
      <c r="AE23" s="8"/>
      <c r="AF23" s="8"/>
      <c r="AG23" s="3"/>
      <c r="AI23" s="20"/>
      <c r="AK23" s="8"/>
      <c r="AL23" s="8"/>
      <c r="AM23" s="8"/>
      <c r="AN23" s="8"/>
      <c r="AO23" s="8"/>
      <c r="AP23" s="8"/>
      <c r="AR23" s="3"/>
      <c r="AT23" s="20"/>
      <c r="AU23" s="107"/>
      <c r="AV23" s="76"/>
      <c r="AW23" s="107"/>
      <c r="AX23" s="76"/>
      <c r="AY23" s="107"/>
      <c r="AZ23" s="76"/>
      <c r="BA23" s="107"/>
      <c r="BB23" s="76"/>
      <c r="BC23" s="3"/>
      <c r="BE23" s="20"/>
      <c r="BG23" s="102"/>
      <c r="BH23" s="102"/>
      <c r="BI23" s="102"/>
      <c r="BJ23" s="102"/>
      <c r="BK23" s="102"/>
      <c r="BL23" s="102"/>
      <c r="BN23" s="3"/>
    </row>
    <row r="24" spans="3:66" ht="15" customHeight="1" thickBot="1" x14ac:dyDescent="0.35">
      <c r="L24" s="21"/>
      <c r="M24" s="4"/>
      <c r="N24" s="4"/>
      <c r="O24" s="10"/>
      <c r="P24" s="10"/>
      <c r="Q24" s="10"/>
      <c r="R24" s="10"/>
      <c r="S24" s="4"/>
      <c r="T24" s="4"/>
      <c r="U24" s="22"/>
      <c r="X24" s="21"/>
      <c r="Y24" s="4"/>
      <c r="Z24" s="4"/>
      <c r="AA24" s="4"/>
      <c r="AB24" s="4"/>
      <c r="AC24" s="4"/>
      <c r="AD24" s="4"/>
      <c r="AE24" s="4"/>
      <c r="AF24" s="4"/>
      <c r="AG24" s="22"/>
      <c r="AI24" s="21"/>
      <c r="AJ24" s="4"/>
      <c r="AK24" s="4"/>
      <c r="AL24" s="10"/>
      <c r="AM24" s="10"/>
      <c r="AN24" s="10"/>
      <c r="AO24" s="10"/>
      <c r="AP24" s="4"/>
      <c r="AQ24" s="4"/>
      <c r="AR24" s="22"/>
      <c r="AT24" s="21"/>
      <c r="AU24" s="4"/>
      <c r="AV24" s="4"/>
      <c r="AW24" s="4"/>
      <c r="AX24" s="4"/>
      <c r="AY24" s="4"/>
      <c r="AZ24" s="4"/>
      <c r="BA24" s="4"/>
      <c r="BB24" s="4"/>
      <c r="BC24" s="22"/>
      <c r="BE24" s="21"/>
      <c r="BF24" s="4"/>
      <c r="BG24" s="4"/>
      <c r="BH24" s="106"/>
      <c r="BI24" s="106"/>
      <c r="BJ24" s="106"/>
      <c r="BK24" s="106"/>
      <c r="BL24" s="4"/>
      <c r="BM24" s="4"/>
      <c r="BN24" s="22"/>
    </row>
    <row r="25" spans="3:66" ht="15" customHeight="1" x14ac:dyDescent="0.3">
      <c r="L25" s="1" t="s">
        <v>397</v>
      </c>
      <c r="M25" s="1" t="s">
        <v>402</v>
      </c>
      <c r="X25" s="1" t="s">
        <v>405</v>
      </c>
      <c r="AI25" s="1" t="s">
        <v>400</v>
      </c>
      <c r="AJ25" s="1" t="s">
        <v>401</v>
      </c>
      <c r="AT25" s="1" t="s">
        <v>398</v>
      </c>
      <c r="AU25" s="1" t="s">
        <v>403</v>
      </c>
      <c r="BE25" s="1" t="s">
        <v>399</v>
      </c>
      <c r="BF25" s="1" t="s">
        <v>300</v>
      </c>
    </row>
    <row r="28" spans="3:66" ht="15" customHeight="1" x14ac:dyDescent="0.3">
      <c r="C28" s="146"/>
      <c r="D28" s="146"/>
      <c r="E28" s="146"/>
      <c r="F28" s="146"/>
      <c r="G28" s="146"/>
      <c r="H28" s="146"/>
      <c r="I28" s="146"/>
      <c r="J28" s="146"/>
    </row>
    <row r="29" spans="3:66" ht="15" customHeight="1" x14ac:dyDescent="0.3">
      <c r="C29" s="146"/>
      <c r="D29" s="146"/>
      <c r="E29" s="146"/>
      <c r="F29" s="146"/>
      <c r="G29" s="146"/>
      <c r="H29" s="146"/>
      <c r="I29" s="146"/>
      <c r="J29" s="146"/>
    </row>
    <row r="30" spans="3:66" ht="15" customHeight="1" x14ac:dyDescent="0.3">
      <c r="C30" s="146"/>
      <c r="D30" s="146"/>
      <c r="E30" s="146"/>
      <c r="F30" s="146"/>
      <c r="G30" s="146"/>
      <c r="H30" s="146"/>
      <c r="I30" s="146"/>
      <c r="J30" s="146"/>
    </row>
    <row r="31" spans="3:66" ht="15" customHeight="1" x14ac:dyDescent="0.3">
      <c r="C31" s="146"/>
      <c r="D31" s="146"/>
      <c r="E31" s="146"/>
      <c r="F31" s="146"/>
      <c r="G31" s="146"/>
      <c r="H31" s="146"/>
      <c r="I31" s="146"/>
      <c r="J31" s="146"/>
    </row>
    <row r="32" spans="3:66" ht="15" customHeight="1" x14ac:dyDescent="0.3">
      <c r="C32" s="146"/>
      <c r="D32" s="146"/>
      <c r="E32" s="146"/>
      <c r="F32" s="146"/>
      <c r="G32" s="146"/>
      <c r="H32" s="146"/>
      <c r="I32" s="146"/>
      <c r="J32" s="146"/>
    </row>
    <row r="33" spans="3:67" ht="15" customHeight="1" x14ac:dyDescent="0.3">
      <c r="C33" s="146"/>
      <c r="D33" s="146"/>
      <c r="E33" s="146"/>
      <c r="F33" s="146"/>
      <c r="G33" s="146"/>
      <c r="H33" s="146"/>
      <c r="I33" s="146"/>
      <c r="J33" s="146"/>
    </row>
    <row r="34" spans="3:67" ht="15" customHeight="1" x14ac:dyDescent="0.3">
      <c r="C34" s="146"/>
      <c r="D34" s="146"/>
      <c r="E34" s="146"/>
      <c r="F34" s="146"/>
      <c r="G34" s="146"/>
      <c r="H34" s="146"/>
      <c r="I34" s="146"/>
      <c r="J34" s="146"/>
    </row>
    <row r="35" spans="3:67" ht="15" customHeight="1" x14ac:dyDescent="0.3">
      <c r="C35" s="146"/>
      <c r="D35" s="146"/>
      <c r="E35" s="146"/>
      <c r="F35" s="146"/>
      <c r="G35" s="146"/>
      <c r="H35" s="146"/>
      <c r="I35" s="146"/>
      <c r="J35" s="146"/>
    </row>
    <row r="38" spans="3:67" ht="15" customHeight="1" x14ac:dyDescent="0.3">
      <c r="L38" s="190" t="s">
        <v>276</v>
      </c>
      <c r="M38" s="190"/>
      <c r="N38" s="190"/>
      <c r="O38" s="190"/>
      <c r="P38" s="190"/>
      <c r="Q38" s="190"/>
      <c r="R38" s="190"/>
      <c r="S38" s="190"/>
      <c r="T38" s="190"/>
      <c r="U38" s="190"/>
      <c r="V38" s="190"/>
      <c r="W38" s="190"/>
      <c r="X38" s="190"/>
      <c r="Y38" s="190"/>
      <c r="Z38" s="190"/>
      <c r="AA38" s="190"/>
      <c r="AB38" s="190"/>
      <c r="AC38" s="190"/>
      <c r="AD38" s="190"/>
      <c r="AE38" s="190"/>
      <c r="AF38" s="190"/>
      <c r="AG38" s="190"/>
      <c r="AH38" s="190"/>
      <c r="AI38" s="190"/>
      <c r="AJ38" s="190"/>
      <c r="AK38" s="190"/>
      <c r="AL38" s="190"/>
      <c r="AM38" s="190"/>
      <c r="AN38" s="190"/>
      <c r="AO38" s="190"/>
      <c r="AP38" s="190"/>
      <c r="AQ38" s="190"/>
      <c r="AR38" s="190"/>
      <c r="AS38" s="190"/>
      <c r="AT38" s="190"/>
      <c r="AU38" s="190"/>
      <c r="AV38" s="190"/>
      <c r="AW38" s="190"/>
      <c r="AX38" s="190"/>
      <c r="AY38" s="190"/>
      <c r="AZ38" s="190"/>
      <c r="BA38" s="190"/>
      <c r="BB38" s="190"/>
      <c r="BC38" s="190"/>
      <c r="BD38" s="190"/>
      <c r="BE38" s="190"/>
      <c r="BF38" s="190"/>
      <c r="BG38" s="190"/>
      <c r="BH38" s="190"/>
      <c r="BI38" s="190"/>
      <c r="BJ38" s="190"/>
      <c r="BK38" s="190"/>
      <c r="BL38" s="190"/>
      <c r="BM38" s="190"/>
      <c r="BN38" s="190"/>
    </row>
    <row r="39" spans="3:67" ht="15" customHeight="1" x14ac:dyDescent="0.3">
      <c r="L39" s="190"/>
      <c r="M39" s="190"/>
      <c r="N39" s="190"/>
      <c r="O39" s="190"/>
      <c r="P39" s="190"/>
      <c r="Q39" s="190"/>
      <c r="R39" s="190"/>
      <c r="S39" s="190"/>
      <c r="T39" s="190"/>
      <c r="U39" s="190"/>
      <c r="V39" s="190"/>
      <c r="W39" s="190"/>
      <c r="X39" s="190"/>
      <c r="Y39" s="190"/>
      <c r="Z39" s="190"/>
      <c r="AA39" s="190"/>
      <c r="AB39" s="190"/>
      <c r="AC39" s="190"/>
      <c r="AD39" s="190"/>
      <c r="AE39" s="190"/>
      <c r="AF39" s="190"/>
      <c r="AG39" s="190"/>
      <c r="AH39" s="190"/>
      <c r="AI39" s="190"/>
      <c r="AJ39" s="190"/>
      <c r="AK39" s="190"/>
      <c r="AL39" s="190"/>
      <c r="AM39" s="190"/>
      <c r="AN39" s="190"/>
      <c r="AO39" s="190"/>
      <c r="AP39" s="190"/>
      <c r="AQ39" s="190"/>
      <c r="AR39" s="190"/>
      <c r="AS39" s="190"/>
      <c r="AT39" s="190"/>
      <c r="AU39" s="190"/>
      <c r="AV39" s="190"/>
      <c r="AW39" s="190"/>
      <c r="AX39" s="190"/>
      <c r="AY39" s="190"/>
      <c r="AZ39" s="190"/>
      <c r="BA39" s="190"/>
      <c r="BB39" s="190"/>
      <c r="BC39" s="190"/>
      <c r="BD39" s="190"/>
      <c r="BE39" s="190"/>
      <c r="BF39" s="190"/>
      <c r="BG39" s="190"/>
      <c r="BH39" s="190"/>
      <c r="BI39" s="190"/>
      <c r="BJ39" s="190"/>
      <c r="BK39" s="190"/>
      <c r="BL39" s="190"/>
      <c r="BM39" s="190"/>
      <c r="BN39" s="190"/>
    </row>
    <row r="40" spans="3:67" ht="15" customHeight="1" thickBot="1" x14ac:dyDescent="0.35"/>
    <row r="41" spans="3:67" ht="15" customHeight="1" x14ac:dyDescent="0.3">
      <c r="L41" s="18"/>
      <c r="M41" s="2"/>
      <c r="N41" s="2"/>
      <c r="O41" s="2"/>
      <c r="P41" s="2"/>
      <c r="Q41" s="2"/>
      <c r="R41" s="2"/>
      <c r="S41" s="2"/>
      <c r="T41" s="2"/>
      <c r="U41" s="19"/>
      <c r="X41" s="18"/>
      <c r="Y41" s="2"/>
      <c r="Z41" s="2"/>
      <c r="AA41" s="2"/>
      <c r="AB41" s="2"/>
      <c r="AC41" s="2"/>
      <c r="AD41" s="2"/>
      <c r="AE41" s="2"/>
      <c r="AF41" s="2"/>
      <c r="AG41" s="19"/>
      <c r="AJ41" s="18"/>
      <c r="AK41" s="2"/>
      <c r="AL41" s="2"/>
      <c r="AM41" s="2"/>
      <c r="AN41" s="2"/>
      <c r="AO41" s="2"/>
      <c r="AP41" s="2"/>
      <c r="AQ41" s="2"/>
      <c r="AR41" s="2"/>
      <c r="AS41" s="19"/>
      <c r="AU41" s="18"/>
      <c r="AV41" s="2"/>
      <c r="AW41" s="2"/>
      <c r="AX41" s="2"/>
      <c r="AY41" s="2"/>
      <c r="AZ41" s="2"/>
      <c r="BA41" s="2"/>
      <c r="BB41" s="2"/>
      <c r="BC41" s="2"/>
      <c r="BD41" s="19"/>
      <c r="BF41" s="18"/>
      <c r="BG41" s="2"/>
      <c r="BH41" s="2"/>
      <c r="BI41" s="2"/>
      <c r="BJ41" s="2"/>
      <c r="BK41" s="2"/>
      <c r="BL41" s="2"/>
      <c r="BM41" s="2"/>
      <c r="BN41" s="2"/>
      <c r="BO41" s="19"/>
    </row>
    <row r="42" spans="3:67" ht="15" customHeight="1" x14ac:dyDescent="0.3">
      <c r="L42" s="20"/>
      <c r="M42" s="151"/>
      <c r="N42" s="151"/>
      <c r="O42" s="151"/>
      <c r="P42" s="151"/>
      <c r="Q42" s="151"/>
      <c r="R42" s="151"/>
      <c r="S42" s="151"/>
      <c r="T42" s="151"/>
      <c r="U42" s="3"/>
      <c r="X42" s="20"/>
      <c r="Y42" s="147"/>
      <c r="Z42" s="147"/>
      <c r="AA42" s="147"/>
      <c r="AB42" s="147"/>
      <c r="AC42" s="147"/>
      <c r="AD42" s="147"/>
      <c r="AE42" s="147"/>
      <c r="AF42" s="147"/>
      <c r="AG42" s="3"/>
      <c r="AJ42" s="20"/>
      <c r="AK42" s="148"/>
      <c r="AL42" s="148"/>
      <c r="AM42" s="148"/>
      <c r="AN42" s="148"/>
      <c r="AO42" s="148"/>
      <c r="AP42" s="148"/>
      <c r="AQ42" s="148"/>
      <c r="AR42" s="148"/>
      <c r="AS42" s="3"/>
      <c r="AU42" s="20"/>
      <c r="AV42" s="149"/>
      <c r="AW42" s="149"/>
      <c r="AX42" s="149"/>
      <c r="AY42" s="149"/>
      <c r="AZ42" s="149"/>
      <c r="BA42" s="149"/>
      <c r="BB42" s="149"/>
      <c r="BC42" s="149"/>
      <c r="BD42" s="3"/>
      <c r="BF42" s="20"/>
      <c r="BG42" s="150"/>
      <c r="BH42" s="150"/>
      <c r="BI42" s="150"/>
      <c r="BJ42" s="150"/>
      <c r="BK42" s="150"/>
      <c r="BL42" s="150"/>
      <c r="BM42" s="150"/>
      <c r="BN42" s="150"/>
      <c r="BO42" s="3"/>
    </row>
    <row r="43" spans="3:67" ht="15" customHeight="1" x14ac:dyDescent="0.3">
      <c r="L43" s="20"/>
      <c r="M43" s="151"/>
      <c r="N43" s="151"/>
      <c r="O43" s="151"/>
      <c r="P43" s="151"/>
      <c r="Q43" s="151"/>
      <c r="R43" s="151"/>
      <c r="S43" s="151"/>
      <c r="T43" s="151"/>
      <c r="U43" s="3"/>
      <c r="X43" s="20"/>
      <c r="Y43" s="147"/>
      <c r="Z43" s="147"/>
      <c r="AA43" s="147"/>
      <c r="AB43" s="147"/>
      <c r="AC43" s="147"/>
      <c r="AD43" s="147"/>
      <c r="AE43" s="147"/>
      <c r="AF43" s="147"/>
      <c r="AG43" s="3"/>
      <c r="AJ43" s="20"/>
      <c r="AK43" s="148"/>
      <c r="AL43" s="148"/>
      <c r="AM43" s="148"/>
      <c r="AN43" s="148"/>
      <c r="AO43" s="148"/>
      <c r="AP43" s="148"/>
      <c r="AQ43" s="148"/>
      <c r="AR43" s="148"/>
      <c r="AS43" s="3"/>
      <c r="AU43" s="20"/>
      <c r="AV43" s="149"/>
      <c r="AW43" s="149"/>
      <c r="AX43" s="149"/>
      <c r="AY43" s="149"/>
      <c r="AZ43" s="149"/>
      <c r="BA43" s="149"/>
      <c r="BB43" s="149"/>
      <c r="BC43" s="149"/>
      <c r="BD43" s="3"/>
      <c r="BF43" s="20"/>
      <c r="BG43" s="150"/>
      <c r="BH43" s="150"/>
      <c r="BI43" s="150"/>
      <c r="BJ43" s="150"/>
      <c r="BK43" s="150"/>
      <c r="BL43" s="150"/>
      <c r="BM43" s="150"/>
      <c r="BN43" s="150"/>
      <c r="BO43" s="3"/>
    </row>
    <row r="44" spans="3:67" ht="15" customHeight="1" x14ac:dyDescent="0.3">
      <c r="L44" s="20"/>
      <c r="M44" s="151"/>
      <c r="N44" s="151"/>
      <c r="O44" s="151"/>
      <c r="P44" s="151"/>
      <c r="Q44" s="151"/>
      <c r="R44" s="151"/>
      <c r="S44" s="151"/>
      <c r="T44" s="151"/>
      <c r="U44" s="3"/>
      <c r="X44" s="20"/>
      <c r="Y44" s="147"/>
      <c r="Z44" s="147"/>
      <c r="AA44" s="147"/>
      <c r="AB44" s="147"/>
      <c r="AC44" s="147"/>
      <c r="AD44" s="147"/>
      <c r="AE44" s="147"/>
      <c r="AF44" s="147"/>
      <c r="AG44" s="3"/>
      <c r="AJ44" s="20"/>
      <c r="AK44" s="148"/>
      <c r="AL44" s="148"/>
      <c r="AM44" s="148"/>
      <c r="AN44" s="148"/>
      <c r="AO44" s="148"/>
      <c r="AP44" s="148"/>
      <c r="AQ44" s="148"/>
      <c r="AR44" s="148"/>
      <c r="AS44" s="3"/>
      <c r="AU44" s="20"/>
      <c r="AV44" s="149"/>
      <c r="AW44" s="149"/>
      <c r="AX44" s="149"/>
      <c r="AY44" s="149"/>
      <c r="AZ44" s="149"/>
      <c r="BA44" s="149"/>
      <c r="BB44" s="149"/>
      <c r="BC44" s="149"/>
      <c r="BD44" s="3"/>
      <c r="BF44" s="20"/>
      <c r="BG44" s="150"/>
      <c r="BH44" s="150"/>
      <c r="BI44" s="150"/>
      <c r="BJ44" s="150"/>
      <c r="BK44" s="150"/>
      <c r="BL44" s="150"/>
      <c r="BM44" s="150"/>
      <c r="BN44" s="150"/>
      <c r="BO44" s="3"/>
    </row>
    <row r="45" spans="3:67" ht="15" customHeight="1" x14ac:dyDescent="0.3">
      <c r="L45" s="20"/>
      <c r="M45" s="151"/>
      <c r="N45" s="151"/>
      <c r="O45" s="151"/>
      <c r="P45" s="151"/>
      <c r="Q45" s="151"/>
      <c r="R45" s="151"/>
      <c r="S45" s="151"/>
      <c r="T45" s="151"/>
      <c r="U45" s="3"/>
      <c r="X45" s="20"/>
      <c r="Y45" s="147"/>
      <c r="Z45" s="147"/>
      <c r="AA45" s="147"/>
      <c r="AB45" s="147"/>
      <c r="AC45" s="147"/>
      <c r="AD45" s="147"/>
      <c r="AE45" s="147"/>
      <c r="AF45" s="147"/>
      <c r="AG45" s="3"/>
      <c r="AJ45" s="20"/>
      <c r="AK45" s="148"/>
      <c r="AL45" s="148"/>
      <c r="AM45" s="148"/>
      <c r="AN45" s="148"/>
      <c r="AO45" s="148"/>
      <c r="AP45" s="148"/>
      <c r="AQ45" s="148"/>
      <c r="AR45" s="148"/>
      <c r="AS45" s="3"/>
      <c r="AU45" s="20"/>
      <c r="AV45" s="149"/>
      <c r="AW45" s="149"/>
      <c r="AX45" s="149"/>
      <c r="AY45" s="149"/>
      <c r="AZ45" s="149"/>
      <c r="BA45" s="149"/>
      <c r="BB45" s="149"/>
      <c r="BC45" s="149"/>
      <c r="BD45" s="3"/>
      <c r="BF45" s="20"/>
      <c r="BG45" s="150"/>
      <c r="BH45" s="150"/>
      <c r="BI45" s="150"/>
      <c r="BJ45" s="150"/>
      <c r="BK45" s="150"/>
      <c r="BL45" s="150"/>
      <c r="BM45" s="150"/>
      <c r="BN45" s="150"/>
      <c r="BO45" s="3"/>
    </row>
    <row r="46" spans="3:67" ht="15" customHeight="1" x14ac:dyDescent="0.3">
      <c r="L46" s="20"/>
      <c r="M46" s="151"/>
      <c r="N46" s="151"/>
      <c r="O46" s="151"/>
      <c r="P46" s="151"/>
      <c r="Q46" s="151"/>
      <c r="R46" s="151"/>
      <c r="S46" s="151"/>
      <c r="T46" s="151"/>
      <c r="U46" s="3"/>
      <c r="X46" s="20"/>
      <c r="Y46" s="147"/>
      <c r="Z46" s="147"/>
      <c r="AA46" s="147"/>
      <c r="AB46" s="147"/>
      <c r="AC46" s="147"/>
      <c r="AD46" s="147"/>
      <c r="AE46" s="147"/>
      <c r="AF46" s="147"/>
      <c r="AG46" s="3"/>
      <c r="AJ46" s="20"/>
      <c r="AK46" s="148"/>
      <c r="AL46" s="148"/>
      <c r="AM46" s="148"/>
      <c r="AN46" s="148"/>
      <c r="AO46" s="148"/>
      <c r="AP46" s="148"/>
      <c r="AQ46" s="148"/>
      <c r="AR46" s="148"/>
      <c r="AS46" s="3"/>
      <c r="AU46" s="20"/>
      <c r="AV46" s="149"/>
      <c r="AW46" s="149"/>
      <c r="AX46" s="149"/>
      <c r="AY46" s="149"/>
      <c r="AZ46" s="149"/>
      <c r="BA46" s="149"/>
      <c r="BB46" s="149"/>
      <c r="BC46" s="149"/>
      <c r="BD46" s="3"/>
      <c r="BF46" s="20"/>
      <c r="BG46" s="150"/>
      <c r="BH46" s="150"/>
      <c r="BI46" s="150"/>
      <c r="BJ46" s="150"/>
      <c r="BK46" s="150"/>
      <c r="BL46" s="150"/>
      <c r="BM46" s="150"/>
      <c r="BN46" s="150"/>
      <c r="BO46" s="3"/>
    </row>
    <row r="47" spans="3:67" ht="15" customHeight="1" x14ac:dyDescent="0.3">
      <c r="L47" s="20"/>
      <c r="M47" s="151"/>
      <c r="N47" s="151"/>
      <c r="O47" s="151"/>
      <c r="P47" s="151"/>
      <c r="Q47" s="151"/>
      <c r="R47" s="151"/>
      <c r="S47" s="151"/>
      <c r="T47" s="151"/>
      <c r="U47" s="3"/>
      <c r="X47" s="20"/>
      <c r="Y47" s="147"/>
      <c r="Z47" s="147"/>
      <c r="AA47" s="147"/>
      <c r="AB47" s="147"/>
      <c r="AC47" s="147"/>
      <c r="AD47" s="147"/>
      <c r="AE47" s="147"/>
      <c r="AF47" s="147"/>
      <c r="AG47" s="3"/>
      <c r="AJ47" s="20"/>
      <c r="AK47" s="148"/>
      <c r="AL47" s="148"/>
      <c r="AM47" s="148"/>
      <c r="AN47" s="148"/>
      <c r="AO47" s="148"/>
      <c r="AP47" s="148"/>
      <c r="AQ47" s="148"/>
      <c r="AR47" s="148"/>
      <c r="AS47" s="3"/>
      <c r="AU47" s="20"/>
      <c r="AV47" s="149"/>
      <c r="AW47" s="149"/>
      <c r="AX47" s="149"/>
      <c r="AY47" s="149"/>
      <c r="AZ47" s="149"/>
      <c r="BA47" s="149"/>
      <c r="BB47" s="149"/>
      <c r="BC47" s="149"/>
      <c r="BD47" s="3"/>
      <c r="BF47" s="20"/>
      <c r="BG47" s="150"/>
      <c r="BH47" s="150"/>
      <c r="BI47" s="150"/>
      <c r="BJ47" s="150"/>
      <c r="BK47" s="150"/>
      <c r="BL47" s="150"/>
      <c r="BM47" s="150"/>
      <c r="BN47" s="150"/>
      <c r="BO47" s="3"/>
    </row>
    <row r="48" spans="3:67" ht="15" customHeight="1" x14ac:dyDescent="0.3">
      <c r="L48" s="20"/>
      <c r="M48" s="151"/>
      <c r="N48" s="151"/>
      <c r="O48" s="151"/>
      <c r="P48" s="151"/>
      <c r="Q48" s="151"/>
      <c r="R48" s="151"/>
      <c r="S48" s="151"/>
      <c r="T48" s="151"/>
      <c r="U48" s="3"/>
      <c r="X48" s="20"/>
      <c r="Y48" s="147"/>
      <c r="Z48" s="147"/>
      <c r="AA48" s="147"/>
      <c r="AB48" s="147"/>
      <c r="AC48" s="147"/>
      <c r="AD48" s="147"/>
      <c r="AE48" s="147"/>
      <c r="AF48" s="147"/>
      <c r="AG48" s="3"/>
      <c r="AJ48" s="20"/>
      <c r="AK48" s="148"/>
      <c r="AL48" s="148"/>
      <c r="AM48" s="148"/>
      <c r="AN48" s="148"/>
      <c r="AO48" s="148"/>
      <c r="AP48" s="148"/>
      <c r="AQ48" s="148"/>
      <c r="AR48" s="148"/>
      <c r="AS48" s="3"/>
      <c r="AU48" s="20"/>
      <c r="AV48" s="149"/>
      <c r="AW48" s="149"/>
      <c r="AX48" s="149"/>
      <c r="AY48" s="149"/>
      <c r="AZ48" s="149"/>
      <c r="BA48" s="149"/>
      <c r="BB48" s="149"/>
      <c r="BC48" s="149"/>
      <c r="BD48" s="3"/>
      <c r="BF48" s="20"/>
      <c r="BG48" s="150"/>
      <c r="BH48" s="150"/>
      <c r="BI48" s="150"/>
      <c r="BJ48" s="150"/>
      <c r="BK48" s="150"/>
      <c r="BL48" s="150"/>
      <c r="BM48" s="150"/>
      <c r="BN48" s="150"/>
      <c r="BO48" s="3"/>
    </row>
    <row r="49" spans="12:67" ht="15" customHeight="1" x14ac:dyDescent="0.3">
      <c r="L49" s="20"/>
      <c r="M49" s="151"/>
      <c r="N49" s="151"/>
      <c r="O49" s="151"/>
      <c r="P49" s="151"/>
      <c r="Q49" s="151"/>
      <c r="R49" s="151"/>
      <c r="S49" s="151"/>
      <c r="T49" s="151"/>
      <c r="U49" s="3"/>
      <c r="X49" s="20"/>
      <c r="Y49" s="147"/>
      <c r="Z49" s="147"/>
      <c r="AA49" s="147"/>
      <c r="AB49" s="147"/>
      <c r="AC49" s="147"/>
      <c r="AD49" s="147"/>
      <c r="AE49" s="147"/>
      <c r="AF49" s="147"/>
      <c r="AG49" s="3"/>
      <c r="AJ49" s="20"/>
      <c r="AK49" s="148"/>
      <c r="AL49" s="148"/>
      <c r="AM49" s="148"/>
      <c r="AN49" s="148"/>
      <c r="AO49" s="148"/>
      <c r="AP49" s="148"/>
      <c r="AQ49" s="148"/>
      <c r="AR49" s="148"/>
      <c r="AS49" s="3"/>
      <c r="AU49" s="20"/>
      <c r="AV49" s="149"/>
      <c r="AW49" s="149"/>
      <c r="AX49" s="149"/>
      <c r="AY49" s="149"/>
      <c r="AZ49" s="149"/>
      <c r="BA49" s="149"/>
      <c r="BB49" s="149"/>
      <c r="BC49" s="149"/>
      <c r="BD49" s="3"/>
      <c r="BF49" s="20"/>
      <c r="BG49" s="150"/>
      <c r="BH49" s="150"/>
      <c r="BI49" s="150"/>
      <c r="BJ49" s="150"/>
      <c r="BK49" s="150"/>
      <c r="BL49" s="150"/>
      <c r="BM49" s="150"/>
      <c r="BN49" s="150"/>
      <c r="BO49" s="3"/>
    </row>
    <row r="50" spans="12:67" ht="15" customHeight="1" thickBot="1" x14ac:dyDescent="0.35">
      <c r="L50" s="21"/>
      <c r="M50" s="4"/>
      <c r="N50" s="4"/>
      <c r="O50" s="4"/>
      <c r="P50" s="4"/>
      <c r="Q50" s="4"/>
      <c r="R50" s="4"/>
      <c r="S50" s="4"/>
      <c r="T50" s="4"/>
      <c r="U50" s="22"/>
      <c r="X50" s="21"/>
      <c r="Y50" s="4"/>
      <c r="Z50" s="4"/>
      <c r="AA50" s="4"/>
      <c r="AB50" s="4"/>
      <c r="AC50" s="4"/>
      <c r="AD50" s="4"/>
      <c r="AE50" s="4"/>
      <c r="AF50" s="4"/>
      <c r="AG50" s="22"/>
      <c r="AJ50" s="21"/>
      <c r="AK50" s="4"/>
      <c r="AL50" s="4"/>
      <c r="AM50" s="4"/>
      <c r="AN50" s="4"/>
      <c r="AO50" s="4"/>
      <c r="AP50" s="4"/>
      <c r="AQ50" s="4"/>
      <c r="AR50" s="4"/>
      <c r="AS50" s="22"/>
      <c r="AU50" s="21"/>
      <c r="AV50" s="4"/>
      <c r="AW50" s="4"/>
      <c r="AX50" s="4"/>
      <c r="AY50" s="4"/>
      <c r="AZ50" s="4"/>
      <c r="BA50" s="4"/>
      <c r="BB50" s="4"/>
      <c r="BC50" s="4"/>
      <c r="BD50" s="22"/>
      <c r="BF50" s="21"/>
      <c r="BG50" s="4"/>
      <c r="BH50" s="4"/>
      <c r="BI50" s="4"/>
      <c r="BJ50" s="4"/>
      <c r="BK50" s="4"/>
      <c r="BL50" s="4"/>
      <c r="BM50" s="4"/>
      <c r="BN50" s="4"/>
      <c r="BO50" s="22"/>
    </row>
    <row r="51" spans="12:67" ht="15" customHeight="1" thickBot="1" x14ac:dyDescent="0.35">
      <c r="L51" s="1" t="s">
        <v>279</v>
      </c>
      <c r="M51" s="1" t="s">
        <v>288</v>
      </c>
      <c r="X51" s="1" t="s">
        <v>280</v>
      </c>
      <c r="Y51" s="1" t="s">
        <v>277</v>
      </c>
      <c r="AJ51" s="1" t="s">
        <v>281</v>
      </c>
      <c r="AK51" s="1" t="s">
        <v>278</v>
      </c>
      <c r="AU51" s="1" t="s">
        <v>282</v>
      </c>
      <c r="AV51" s="1" t="s">
        <v>289</v>
      </c>
      <c r="BF51" s="1" t="s">
        <v>283</v>
      </c>
      <c r="BG51" s="1" t="s">
        <v>290</v>
      </c>
    </row>
    <row r="52" spans="12:67" ht="15" customHeight="1" x14ac:dyDescent="0.3">
      <c r="L52" s="18"/>
      <c r="M52" s="2"/>
      <c r="N52" s="2"/>
      <c r="O52" s="2"/>
      <c r="P52" s="2"/>
      <c r="Q52" s="2"/>
      <c r="R52" s="2"/>
      <c r="S52" s="2"/>
      <c r="T52" s="2"/>
      <c r="U52" s="19"/>
      <c r="X52" s="18"/>
      <c r="Y52" s="2"/>
      <c r="Z52" s="2"/>
      <c r="AA52" s="2"/>
      <c r="AB52" s="2"/>
      <c r="AC52" s="2"/>
      <c r="AD52" s="2"/>
      <c r="AE52" s="2"/>
      <c r="AF52" s="2"/>
      <c r="AG52" s="19"/>
      <c r="AJ52" s="18"/>
      <c r="AK52" s="2"/>
      <c r="AL52" s="2"/>
      <c r="AM52" s="2"/>
      <c r="AN52" s="2"/>
      <c r="AO52" s="2"/>
      <c r="AP52" s="2"/>
      <c r="AQ52" s="2"/>
      <c r="AR52" s="2"/>
      <c r="AS52" s="19"/>
      <c r="AU52" s="18"/>
      <c r="AV52" s="2"/>
      <c r="AW52" s="2"/>
      <c r="AX52" s="2"/>
      <c r="AY52" s="2"/>
      <c r="AZ52" s="2"/>
      <c r="BA52" s="2"/>
      <c r="BB52" s="2"/>
      <c r="BC52" s="2"/>
      <c r="BD52" s="19"/>
      <c r="BF52" s="18"/>
      <c r="BG52" s="2"/>
      <c r="BH52" s="2"/>
      <c r="BI52" s="2"/>
      <c r="BJ52" s="2"/>
      <c r="BK52" s="2"/>
      <c r="BL52" s="2"/>
      <c r="BM52" s="2"/>
      <c r="BN52" s="2"/>
      <c r="BO52" s="19"/>
    </row>
    <row r="53" spans="12:67" ht="15" customHeight="1" x14ac:dyDescent="0.3">
      <c r="L53" s="20"/>
      <c r="M53" s="152"/>
      <c r="N53" s="152"/>
      <c r="O53" s="152"/>
      <c r="P53" s="152"/>
      <c r="Q53" s="152"/>
      <c r="R53" s="152"/>
      <c r="S53" s="152"/>
      <c r="T53" s="152"/>
      <c r="U53" s="3"/>
      <c r="X53" s="20"/>
      <c r="Y53" s="153"/>
      <c r="Z53" s="153"/>
      <c r="AA53" s="153"/>
      <c r="AB53" s="153"/>
      <c r="AC53" s="153"/>
      <c r="AD53" s="153"/>
      <c r="AE53" s="153"/>
      <c r="AF53" s="153"/>
      <c r="AG53" s="3"/>
      <c r="AJ53" s="20"/>
      <c r="AK53" s="154"/>
      <c r="AL53" s="154"/>
      <c r="AM53" s="154"/>
      <c r="AN53" s="154"/>
      <c r="AO53" s="154"/>
      <c r="AP53" s="154"/>
      <c r="AQ53" s="154"/>
      <c r="AR53" s="154"/>
      <c r="AS53" s="3"/>
      <c r="AU53" s="20"/>
      <c r="AV53" s="8"/>
      <c r="AW53" s="8"/>
      <c r="AX53" s="8"/>
      <c r="AY53" s="8"/>
      <c r="AZ53" s="8"/>
      <c r="BA53" s="8"/>
      <c r="BB53" s="8"/>
      <c r="BC53" s="8"/>
      <c r="BD53" s="3"/>
      <c r="BF53" s="20"/>
      <c r="BG53" s="155"/>
      <c r="BH53" s="155"/>
      <c r="BI53" s="155"/>
      <c r="BJ53" s="155"/>
      <c r="BK53" s="155"/>
      <c r="BL53" s="155"/>
      <c r="BM53" s="155"/>
      <c r="BN53" s="155"/>
      <c r="BO53" s="3"/>
    </row>
    <row r="54" spans="12:67" ht="15" customHeight="1" x14ac:dyDescent="0.3">
      <c r="L54" s="20"/>
      <c r="M54" s="152"/>
      <c r="N54" s="152"/>
      <c r="O54" s="152"/>
      <c r="P54" s="152"/>
      <c r="Q54" s="152"/>
      <c r="R54" s="152"/>
      <c r="S54" s="152"/>
      <c r="T54" s="152"/>
      <c r="U54" s="3"/>
      <c r="X54" s="20"/>
      <c r="Y54" s="153"/>
      <c r="Z54" s="153"/>
      <c r="AA54" s="153"/>
      <c r="AB54" s="153"/>
      <c r="AC54" s="153"/>
      <c r="AD54" s="153"/>
      <c r="AE54" s="153"/>
      <c r="AF54" s="153"/>
      <c r="AG54" s="3"/>
      <c r="AJ54" s="20"/>
      <c r="AK54" s="154"/>
      <c r="AL54" s="154"/>
      <c r="AM54" s="154"/>
      <c r="AN54" s="154"/>
      <c r="AO54" s="154"/>
      <c r="AP54" s="154"/>
      <c r="AQ54" s="154"/>
      <c r="AR54" s="154"/>
      <c r="AS54" s="3"/>
      <c r="AU54" s="20"/>
      <c r="AV54" s="8"/>
      <c r="AW54" s="8"/>
      <c r="AX54" s="8"/>
      <c r="AY54" s="8"/>
      <c r="AZ54" s="8"/>
      <c r="BA54" s="8"/>
      <c r="BB54" s="8"/>
      <c r="BC54" s="8"/>
      <c r="BD54" s="3"/>
      <c r="BF54" s="20"/>
      <c r="BG54" s="155"/>
      <c r="BH54" s="155"/>
      <c r="BI54" s="155"/>
      <c r="BJ54" s="155"/>
      <c r="BK54" s="155"/>
      <c r="BL54" s="155"/>
      <c r="BM54" s="155"/>
      <c r="BN54" s="155"/>
      <c r="BO54" s="3"/>
    </row>
    <row r="55" spans="12:67" ht="15" customHeight="1" x14ac:dyDescent="0.3">
      <c r="L55" s="20"/>
      <c r="M55" s="152"/>
      <c r="N55" s="152"/>
      <c r="O55" s="152"/>
      <c r="P55" s="152"/>
      <c r="Q55" s="152"/>
      <c r="R55" s="152"/>
      <c r="S55" s="152"/>
      <c r="T55" s="152"/>
      <c r="U55" s="3"/>
      <c r="X55" s="20"/>
      <c r="Y55" s="153"/>
      <c r="Z55" s="153"/>
      <c r="AA55" s="153"/>
      <c r="AB55" s="153"/>
      <c r="AC55" s="153"/>
      <c r="AD55" s="153"/>
      <c r="AE55" s="153"/>
      <c r="AF55" s="153"/>
      <c r="AG55" s="3"/>
      <c r="AJ55" s="20"/>
      <c r="AK55" s="154"/>
      <c r="AL55" s="154"/>
      <c r="AM55" s="154"/>
      <c r="AN55" s="154"/>
      <c r="AO55" s="154"/>
      <c r="AP55" s="154"/>
      <c r="AQ55" s="154"/>
      <c r="AR55" s="154"/>
      <c r="AS55" s="3"/>
      <c r="AU55" s="20"/>
      <c r="AV55" s="8"/>
      <c r="AW55" s="8"/>
      <c r="AX55" s="8"/>
      <c r="AY55" s="8"/>
      <c r="AZ55" s="8"/>
      <c r="BA55" s="8"/>
      <c r="BB55" s="8"/>
      <c r="BC55" s="8"/>
      <c r="BD55" s="3"/>
      <c r="BF55" s="20"/>
      <c r="BG55" s="155"/>
      <c r="BH55" s="155"/>
      <c r="BI55" s="155"/>
      <c r="BJ55" s="155"/>
      <c r="BK55" s="155"/>
      <c r="BL55" s="155"/>
      <c r="BM55" s="155"/>
      <c r="BN55" s="155"/>
      <c r="BO55" s="3"/>
    </row>
    <row r="56" spans="12:67" ht="15" customHeight="1" x14ac:dyDescent="0.3">
      <c r="L56" s="20"/>
      <c r="M56" s="152"/>
      <c r="N56" s="152"/>
      <c r="O56" s="152"/>
      <c r="P56" s="152"/>
      <c r="Q56" s="152"/>
      <c r="R56" s="152"/>
      <c r="S56" s="152"/>
      <c r="T56" s="152"/>
      <c r="U56" s="3"/>
      <c r="X56" s="20"/>
      <c r="Y56" s="153"/>
      <c r="Z56" s="153"/>
      <c r="AA56" s="153"/>
      <c r="AB56" s="153"/>
      <c r="AC56" s="153"/>
      <c r="AD56" s="153"/>
      <c r="AE56" s="153"/>
      <c r="AF56" s="153"/>
      <c r="AG56" s="3"/>
      <c r="AJ56" s="20"/>
      <c r="AK56" s="154"/>
      <c r="AL56" s="154"/>
      <c r="AM56" s="154"/>
      <c r="AN56" s="154"/>
      <c r="AO56" s="154"/>
      <c r="AP56" s="154"/>
      <c r="AQ56" s="154"/>
      <c r="AR56" s="154"/>
      <c r="AS56" s="3"/>
      <c r="AU56" s="20"/>
      <c r="AV56" s="8"/>
      <c r="AW56" s="8"/>
      <c r="AX56" s="8"/>
      <c r="AY56" s="8"/>
      <c r="AZ56" s="8"/>
      <c r="BA56" s="8"/>
      <c r="BB56" s="8"/>
      <c r="BC56" s="8"/>
      <c r="BD56" s="3"/>
      <c r="BF56" s="20"/>
      <c r="BG56" s="155"/>
      <c r="BH56" s="155"/>
      <c r="BI56" s="155"/>
      <c r="BJ56" s="155"/>
      <c r="BK56" s="155"/>
      <c r="BL56" s="155"/>
      <c r="BM56" s="155"/>
      <c r="BN56" s="155"/>
      <c r="BO56" s="3"/>
    </row>
    <row r="57" spans="12:67" ht="15" customHeight="1" x14ac:dyDescent="0.3">
      <c r="L57" s="20"/>
      <c r="M57" s="152"/>
      <c r="N57" s="152"/>
      <c r="O57" s="152"/>
      <c r="P57" s="152"/>
      <c r="Q57" s="152"/>
      <c r="R57" s="152"/>
      <c r="S57" s="152"/>
      <c r="T57" s="152"/>
      <c r="U57" s="3"/>
      <c r="X57" s="20"/>
      <c r="Y57" s="153"/>
      <c r="Z57" s="153"/>
      <c r="AA57" s="153"/>
      <c r="AB57" s="153"/>
      <c r="AC57" s="153"/>
      <c r="AD57" s="153"/>
      <c r="AE57" s="153"/>
      <c r="AF57" s="153"/>
      <c r="AG57" s="3"/>
      <c r="AJ57" s="20"/>
      <c r="AK57" s="154"/>
      <c r="AL57" s="154"/>
      <c r="AM57" s="154"/>
      <c r="AN57" s="154"/>
      <c r="AO57" s="154"/>
      <c r="AP57" s="154"/>
      <c r="AQ57" s="154"/>
      <c r="AR57" s="154"/>
      <c r="AS57" s="3"/>
      <c r="AU57" s="20"/>
      <c r="AV57" s="8"/>
      <c r="AW57" s="8"/>
      <c r="AX57" s="8"/>
      <c r="AY57" s="8"/>
      <c r="AZ57" s="8"/>
      <c r="BA57" s="8"/>
      <c r="BB57" s="8"/>
      <c r="BC57" s="8"/>
      <c r="BD57" s="3"/>
      <c r="BF57" s="20"/>
      <c r="BG57" s="155"/>
      <c r="BH57" s="155"/>
      <c r="BI57" s="155"/>
      <c r="BJ57" s="155"/>
      <c r="BK57" s="155"/>
      <c r="BL57" s="155"/>
      <c r="BM57" s="155"/>
      <c r="BN57" s="155"/>
      <c r="BO57" s="3"/>
    </row>
    <row r="58" spans="12:67" ht="15" customHeight="1" x14ac:dyDescent="0.3">
      <c r="L58" s="20"/>
      <c r="M58" s="152"/>
      <c r="N58" s="152"/>
      <c r="O58" s="152"/>
      <c r="P58" s="152"/>
      <c r="Q58" s="152"/>
      <c r="R58" s="152"/>
      <c r="S58" s="152"/>
      <c r="T58" s="152"/>
      <c r="U58" s="3"/>
      <c r="X58" s="20"/>
      <c r="Y58" s="153"/>
      <c r="Z58" s="153"/>
      <c r="AA58" s="153"/>
      <c r="AB58" s="153"/>
      <c r="AC58" s="153"/>
      <c r="AD58" s="153"/>
      <c r="AE58" s="153"/>
      <c r="AF58" s="153"/>
      <c r="AG58" s="3"/>
      <c r="AJ58" s="20"/>
      <c r="AK58" s="154"/>
      <c r="AL58" s="154"/>
      <c r="AM58" s="154"/>
      <c r="AN58" s="154"/>
      <c r="AO58" s="154"/>
      <c r="AP58" s="154"/>
      <c r="AQ58" s="154"/>
      <c r="AR58" s="154"/>
      <c r="AS58" s="3"/>
      <c r="AU58" s="20"/>
      <c r="AV58" s="8"/>
      <c r="AW58" s="8"/>
      <c r="AX58" s="8"/>
      <c r="AY58" s="8"/>
      <c r="AZ58" s="8"/>
      <c r="BA58" s="8"/>
      <c r="BB58" s="8"/>
      <c r="BC58" s="8"/>
      <c r="BD58" s="3"/>
      <c r="BF58" s="20"/>
      <c r="BG58" s="155"/>
      <c r="BH58" s="155"/>
      <c r="BI58" s="155"/>
      <c r="BJ58" s="155"/>
      <c r="BK58" s="155"/>
      <c r="BL58" s="155"/>
      <c r="BM58" s="155"/>
      <c r="BN58" s="155"/>
      <c r="BO58" s="3"/>
    </row>
    <row r="59" spans="12:67" ht="15" customHeight="1" x14ac:dyDescent="0.3">
      <c r="L59" s="20"/>
      <c r="M59" s="152"/>
      <c r="N59" s="152"/>
      <c r="O59" s="152"/>
      <c r="P59" s="152"/>
      <c r="Q59" s="152"/>
      <c r="R59" s="152"/>
      <c r="S59" s="152"/>
      <c r="T59" s="152"/>
      <c r="U59" s="3"/>
      <c r="X59" s="20"/>
      <c r="Y59" s="153"/>
      <c r="Z59" s="153"/>
      <c r="AA59" s="153"/>
      <c r="AB59" s="153"/>
      <c r="AC59" s="153"/>
      <c r="AD59" s="153"/>
      <c r="AE59" s="153"/>
      <c r="AF59" s="153"/>
      <c r="AG59" s="3"/>
      <c r="AJ59" s="20"/>
      <c r="AK59" s="154"/>
      <c r="AL59" s="154"/>
      <c r="AM59" s="154"/>
      <c r="AN59" s="154"/>
      <c r="AO59" s="154"/>
      <c r="AP59" s="154"/>
      <c r="AQ59" s="154"/>
      <c r="AR59" s="154"/>
      <c r="AS59" s="3"/>
      <c r="AU59" s="20"/>
      <c r="AV59" s="8"/>
      <c r="AW59" s="8"/>
      <c r="AX59" s="8"/>
      <c r="AY59" s="8"/>
      <c r="AZ59" s="8"/>
      <c r="BA59" s="8"/>
      <c r="BB59" s="8"/>
      <c r="BC59" s="8"/>
      <c r="BD59" s="3"/>
      <c r="BF59" s="20"/>
      <c r="BG59" s="155"/>
      <c r="BH59" s="155"/>
      <c r="BI59" s="155"/>
      <c r="BJ59" s="155"/>
      <c r="BK59" s="155"/>
      <c r="BL59" s="155"/>
      <c r="BM59" s="155"/>
      <c r="BN59" s="155"/>
      <c r="BO59" s="3"/>
    </row>
    <row r="60" spans="12:67" ht="15" customHeight="1" x14ac:dyDescent="0.3">
      <c r="L60" s="20"/>
      <c r="M60" s="152"/>
      <c r="N60" s="152"/>
      <c r="O60" s="152"/>
      <c r="P60" s="152"/>
      <c r="Q60" s="152"/>
      <c r="R60" s="152"/>
      <c r="S60" s="152"/>
      <c r="T60" s="152"/>
      <c r="U60" s="3"/>
      <c r="X60" s="20"/>
      <c r="Y60" s="153"/>
      <c r="Z60" s="153"/>
      <c r="AA60" s="153"/>
      <c r="AB60" s="153"/>
      <c r="AC60" s="153"/>
      <c r="AD60" s="153"/>
      <c r="AE60" s="153"/>
      <c r="AF60" s="153"/>
      <c r="AG60" s="3"/>
      <c r="AJ60" s="20"/>
      <c r="AK60" s="154"/>
      <c r="AL60" s="154"/>
      <c r="AM60" s="154"/>
      <c r="AN60" s="154"/>
      <c r="AO60" s="154"/>
      <c r="AP60" s="154"/>
      <c r="AQ60" s="154"/>
      <c r="AR60" s="154"/>
      <c r="AS60" s="3"/>
      <c r="AU60" s="20"/>
      <c r="AV60" s="8"/>
      <c r="AW60" s="8"/>
      <c r="AX60" s="8"/>
      <c r="AY60" s="8"/>
      <c r="AZ60" s="8"/>
      <c r="BA60" s="8"/>
      <c r="BB60" s="8"/>
      <c r="BC60" s="8"/>
      <c r="BD60" s="3"/>
      <c r="BF60" s="20"/>
      <c r="BG60" s="155"/>
      <c r="BH60" s="155"/>
      <c r="BI60" s="155"/>
      <c r="BJ60" s="155"/>
      <c r="BK60" s="155"/>
      <c r="BL60" s="155"/>
      <c r="BM60" s="155"/>
      <c r="BN60" s="155"/>
      <c r="BO60" s="3"/>
    </row>
    <row r="61" spans="12:67" ht="15" customHeight="1" thickBot="1" x14ac:dyDescent="0.35">
      <c r="L61" s="21"/>
      <c r="M61" s="4"/>
      <c r="N61" s="4"/>
      <c r="O61" s="4"/>
      <c r="P61" s="4"/>
      <c r="Q61" s="4"/>
      <c r="R61" s="4"/>
      <c r="S61" s="4"/>
      <c r="T61" s="4"/>
      <c r="U61" s="22"/>
      <c r="X61" s="21"/>
      <c r="Y61" s="4"/>
      <c r="Z61" s="4"/>
      <c r="AA61" s="4"/>
      <c r="AB61" s="4"/>
      <c r="AC61" s="4"/>
      <c r="AD61" s="4"/>
      <c r="AE61" s="4"/>
      <c r="AF61" s="4"/>
      <c r="AG61" s="22"/>
      <c r="AJ61" s="21"/>
      <c r="AK61" s="4"/>
      <c r="AL61" s="4"/>
      <c r="AM61" s="4"/>
      <c r="AN61" s="4"/>
      <c r="AO61" s="4"/>
      <c r="AP61" s="4"/>
      <c r="AQ61" s="4"/>
      <c r="AR61" s="4"/>
      <c r="AS61" s="22"/>
      <c r="AU61" s="21"/>
      <c r="AV61" s="4"/>
      <c r="AW61" s="4"/>
      <c r="AX61" s="4"/>
      <c r="AY61" s="4"/>
      <c r="AZ61" s="4"/>
      <c r="BA61" s="4"/>
      <c r="BB61" s="4"/>
      <c r="BC61" s="4"/>
      <c r="BD61" s="22"/>
      <c r="BF61" s="21"/>
      <c r="BG61" s="4"/>
      <c r="BH61" s="4"/>
      <c r="BI61" s="4"/>
      <c r="BJ61" s="4"/>
      <c r="BK61" s="4"/>
      <c r="BL61" s="4"/>
      <c r="BM61" s="4"/>
      <c r="BN61" s="4"/>
      <c r="BO61" s="22"/>
    </row>
    <row r="62" spans="12:67" ht="15" customHeight="1" thickBot="1" x14ac:dyDescent="0.35">
      <c r="L62" s="1" t="s">
        <v>284</v>
      </c>
      <c r="M62" s="1" t="s">
        <v>291</v>
      </c>
      <c r="X62" s="1" t="s">
        <v>285</v>
      </c>
      <c r="Y62" s="1" t="s">
        <v>292</v>
      </c>
      <c r="AJ62" s="1" t="s">
        <v>286</v>
      </c>
      <c r="AK62" s="1" t="s">
        <v>293</v>
      </c>
      <c r="AU62" s="1" t="s">
        <v>287</v>
      </c>
      <c r="AV62" s="1" t="s">
        <v>294</v>
      </c>
      <c r="BF62" s="1" t="s">
        <v>296</v>
      </c>
      <c r="BG62" s="1" t="s">
        <v>295</v>
      </c>
    </row>
    <row r="63" spans="12:67" ht="15" customHeight="1" x14ac:dyDescent="0.3">
      <c r="L63" s="18"/>
      <c r="M63" s="2"/>
      <c r="N63" s="2"/>
      <c r="O63" s="2"/>
      <c r="P63" s="2"/>
      <c r="Q63" s="2"/>
      <c r="R63" s="2"/>
      <c r="S63" s="2"/>
      <c r="T63" s="2"/>
      <c r="U63" s="19"/>
      <c r="X63" s="18"/>
      <c r="Y63" s="2"/>
      <c r="Z63" s="2"/>
      <c r="AA63" s="2"/>
      <c r="AB63" s="2"/>
      <c r="AC63" s="2"/>
      <c r="AD63" s="2"/>
      <c r="AE63" s="2"/>
      <c r="AF63" s="2"/>
      <c r="AG63" s="19"/>
      <c r="AJ63" s="18"/>
      <c r="AK63" s="2"/>
      <c r="AL63" s="2"/>
      <c r="AM63" s="2"/>
      <c r="AN63" s="2"/>
      <c r="AO63" s="2"/>
      <c r="AP63" s="2"/>
      <c r="AQ63" s="2"/>
      <c r="AR63" s="2"/>
      <c r="AS63" s="19"/>
      <c r="AU63" s="18"/>
      <c r="AV63" s="2"/>
      <c r="AW63" s="2"/>
      <c r="AX63" s="2"/>
      <c r="AY63" s="2"/>
      <c r="AZ63" s="2"/>
      <c r="BA63" s="2"/>
      <c r="BB63" s="2"/>
      <c r="BC63" s="2"/>
      <c r="BD63" s="19"/>
      <c r="BF63" s="18"/>
      <c r="BG63" s="2"/>
      <c r="BH63" s="2"/>
      <c r="BI63" s="2"/>
      <c r="BJ63" s="2"/>
      <c r="BK63" s="2"/>
      <c r="BL63" s="2"/>
      <c r="BM63" s="2"/>
      <c r="BN63" s="2"/>
      <c r="BO63" s="19"/>
    </row>
    <row r="64" spans="12:67" ht="15" customHeight="1" x14ac:dyDescent="0.3">
      <c r="L64" s="20"/>
      <c r="M64" s="155"/>
      <c r="N64" s="155"/>
      <c r="O64" s="157"/>
      <c r="P64" s="155"/>
      <c r="Q64" s="157"/>
      <c r="R64" s="155"/>
      <c r="S64" s="155"/>
      <c r="T64" s="155"/>
      <c r="U64" s="3"/>
      <c r="X64" s="20"/>
      <c r="Y64" s="152"/>
      <c r="Z64" s="152"/>
      <c r="AA64" s="152"/>
      <c r="AB64" s="152"/>
      <c r="AC64" s="152"/>
      <c r="AD64" s="152"/>
      <c r="AE64" s="152"/>
      <c r="AF64" s="152"/>
      <c r="AG64" s="3"/>
      <c r="AJ64" s="20"/>
      <c r="AK64" s="147"/>
      <c r="AL64" s="148"/>
      <c r="AM64" s="152"/>
      <c r="AN64" s="145"/>
      <c r="AO64" s="154"/>
      <c r="AP64" s="152"/>
      <c r="AQ64" s="145"/>
      <c r="AR64" s="154"/>
      <c r="AS64" s="3"/>
      <c r="AU64" s="20"/>
      <c r="AV64" s="181"/>
      <c r="AW64" s="182"/>
      <c r="AX64" s="182"/>
      <c r="AY64" s="182"/>
      <c r="AZ64" s="182"/>
      <c r="BA64" s="182"/>
      <c r="BB64" s="182"/>
      <c r="BC64" s="183"/>
      <c r="BD64" s="3"/>
      <c r="BF64" s="20"/>
      <c r="BO64" s="3"/>
    </row>
    <row r="65" spans="12:67" ht="15" customHeight="1" x14ac:dyDescent="0.3">
      <c r="L65" s="20"/>
      <c r="M65" s="156"/>
      <c r="N65" s="156"/>
      <c r="O65" s="156"/>
      <c r="P65" s="155"/>
      <c r="Q65" s="155"/>
      <c r="R65" s="156"/>
      <c r="S65" s="156"/>
      <c r="T65" s="156"/>
      <c r="U65" s="3"/>
      <c r="X65" s="20"/>
      <c r="Y65" s="152"/>
      <c r="Z65" s="152"/>
      <c r="AA65" s="152"/>
      <c r="AB65" s="152"/>
      <c r="AC65" s="152"/>
      <c r="AD65" s="152"/>
      <c r="AE65" s="152"/>
      <c r="AF65" s="152"/>
      <c r="AG65" s="3"/>
      <c r="AJ65" s="20"/>
      <c r="AK65" s="147"/>
      <c r="AL65" s="153"/>
      <c r="AM65" s="147"/>
      <c r="AN65" s="148"/>
      <c r="AO65" s="152"/>
      <c r="AP65" s="147"/>
      <c r="AQ65" s="148"/>
      <c r="AR65" s="152"/>
      <c r="AS65" s="3"/>
      <c r="AU65" s="20"/>
      <c r="AV65" s="184"/>
      <c r="AW65" s="151"/>
      <c r="AX65" s="151"/>
      <c r="AY65" s="151"/>
      <c r="AZ65" s="151"/>
      <c r="BA65" s="151"/>
      <c r="BB65" s="151"/>
      <c r="BC65" s="185"/>
      <c r="BD65" s="3"/>
      <c r="BF65" s="20"/>
      <c r="BO65" s="3"/>
    </row>
    <row r="66" spans="12:67" ht="15" customHeight="1" x14ac:dyDescent="0.3">
      <c r="L66" s="20"/>
      <c r="M66" s="155"/>
      <c r="N66" s="156"/>
      <c r="O66" s="155"/>
      <c r="P66" s="156"/>
      <c r="Q66" s="156"/>
      <c r="R66" s="156"/>
      <c r="S66" s="155"/>
      <c r="T66" s="156"/>
      <c r="U66" s="3"/>
      <c r="X66" s="20"/>
      <c r="Y66" s="152"/>
      <c r="Z66" s="152"/>
      <c r="AA66" s="152"/>
      <c r="AB66" s="152"/>
      <c r="AC66" s="152"/>
      <c r="AD66" s="152"/>
      <c r="AE66" s="152"/>
      <c r="AF66" s="152"/>
      <c r="AG66" s="3"/>
      <c r="AJ66" s="20"/>
      <c r="AK66" s="8"/>
      <c r="AL66" s="152"/>
      <c r="AM66" s="145"/>
      <c r="AN66" s="154"/>
      <c r="AO66" s="148"/>
      <c r="AP66" s="76"/>
      <c r="AQ66" s="153"/>
      <c r="AR66" s="147"/>
      <c r="AS66" s="3"/>
      <c r="AU66" s="20"/>
      <c r="AV66" s="184"/>
      <c r="AW66" s="151"/>
      <c r="AX66" s="151"/>
      <c r="AY66" s="151"/>
      <c r="AZ66" s="151"/>
      <c r="BA66" s="151"/>
      <c r="BB66" s="151"/>
      <c r="BC66" s="185"/>
      <c r="BD66" s="3"/>
      <c r="BF66" s="20"/>
      <c r="BO66" s="3"/>
    </row>
    <row r="67" spans="12:67" ht="15" customHeight="1" x14ac:dyDescent="0.3">
      <c r="L67" s="20"/>
      <c r="M67" s="156"/>
      <c r="N67" s="156"/>
      <c r="O67" s="156"/>
      <c r="P67" s="155"/>
      <c r="Q67" s="156"/>
      <c r="R67" s="156"/>
      <c r="S67" s="156"/>
      <c r="T67" s="155"/>
      <c r="U67" s="3"/>
      <c r="X67" s="20"/>
      <c r="Y67" s="152"/>
      <c r="Z67" s="152"/>
      <c r="AA67" s="152"/>
      <c r="AB67" s="152"/>
      <c r="AC67" s="152"/>
      <c r="AD67" s="152"/>
      <c r="AE67" s="152"/>
      <c r="AF67" s="152"/>
      <c r="AG67" s="3"/>
      <c r="AJ67" s="20"/>
      <c r="AK67" s="8"/>
      <c r="AL67" s="147"/>
      <c r="AM67" s="148"/>
      <c r="AN67" s="152"/>
      <c r="AO67" s="148"/>
      <c r="AP67" s="76"/>
      <c r="AQ67" s="153"/>
      <c r="AR67" s="150"/>
      <c r="AS67" s="3"/>
      <c r="AU67" s="20"/>
      <c r="AV67" s="184"/>
      <c r="AW67" s="151"/>
      <c r="AX67" s="151"/>
      <c r="AY67" s="151"/>
      <c r="AZ67" s="151"/>
      <c r="BA67" s="151"/>
      <c r="BB67" s="151"/>
      <c r="BC67" s="185"/>
      <c r="BD67" s="3"/>
      <c r="BF67" s="20"/>
      <c r="BO67" s="3"/>
    </row>
    <row r="68" spans="12:67" ht="15" customHeight="1" x14ac:dyDescent="0.3">
      <c r="L68" s="20"/>
      <c r="M68" s="155"/>
      <c r="N68" s="155"/>
      <c r="O68" s="155"/>
      <c r="P68" s="156"/>
      <c r="Q68" s="155"/>
      <c r="R68" s="155"/>
      <c r="S68" s="156"/>
      <c r="T68" s="156"/>
      <c r="U68" s="3"/>
      <c r="X68" s="20"/>
      <c r="Y68" s="152"/>
      <c r="Z68" s="158"/>
      <c r="AA68" s="158"/>
      <c r="AB68" s="152"/>
      <c r="AC68" s="152"/>
      <c r="AD68" s="152"/>
      <c r="AE68" s="152"/>
      <c r="AF68" s="152"/>
      <c r="AG68" s="3"/>
      <c r="AJ68" s="20"/>
      <c r="AK68" s="152"/>
      <c r="AL68" s="145"/>
      <c r="AM68" s="154"/>
      <c r="AN68" s="76"/>
      <c r="AO68" s="154"/>
      <c r="AP68" s="152"/>
      <c r="AQ68" s="147"/>
      <c r="AR68" s="8"/>
      <c r="AS68" s="3"/>
      <c r="AU68" s="20"/>
      <c r="AV68" s="184"/>
      <c r="AW68" s="151"/>
      <c r="AX68" s="151"/>
      <c r="AY68" s="151"/>
      <c r="AZ68" s="151"/>
      <c r="BA68" s="151"/>
      <c r="BB68" s="151"/>
      <c r="BC68" s="185"/>
      <c r="BD68" s="3"/>
      <c r="BF68" s="20"/>
      <c r="BO68" s="3"/>
    </row>
    <row r="69" spans="12:67" ht="15" customHeight="1" x14ac:dyDescent="0.3">
      <c r="L69" s="20"/>
      <c r="M69" s="155"/>
      <c r="N69" s="156"/>
      <c r="O69" s="156"/>
      <c r="P69" s="156"/>
      <c r="Q69" s="155"/>
      <c r="R69" s="155"/>
      <c r="S69" s="155"/>
      <c r="T69" s="157"/>
      <c r="U69" s="3"/>
      <c r="X69" s="20"/>
      <c r="Y69" s="152"/>
      <c r="Z69" s="158"/>
      <c r="AA69" s="158"/>
      <c r="AB69" s="158"/>
      <c r="AC69" s="152"/>
      <c r="AD69" s="152"/>
      <c r="AE69" s="152"/>
      <c r="AF69" s="152"/>
      <c r="AG69" s="3"/>
      <c r="AJ69" s="20"/>
      <c r="AK69" s="147"/>
      <c r="AL69" s="148"/>
      <c r="AM69" s="152"/>
      <c r="AN69" s="154"/>
      <c r="AO69" s="150"/>
      <c r="AP69" s="147"/>
      <c r="AQ69" s="76"/>
      <c r="AR69" s="154"/>
      <c r="AS69" s="3"/>
      <c r="AU69" s="20"/>
      <c r="AV69" s="184"/>
      <c r="AW69" s="151"/>
      <c r="AX69" s="151"/>
      <c r="AY69" s="151"/>
      <c r="AZ69" s="151"/>
      <c r="BA69" s="151"/>
      <c r="BB69" s="151"/>
      <c r="BC69" s="185"/>
      <c r="BD69" s="3"/>
      <c r="BF69" s="20"/>
      <c r="BO69" s="3"/>
    </row>
    <row r="70" spans="12:67" ht="15" customHeight="1" x14ac:dyDescent="0.3">
      <c r="L70" s="20"/>
      <c r="M70" s="156"/>
      <c r="N70" s="156"/>
      <c r="O70" s="155"/>
      <c r="P70" s="156"/>
      <c r="Q70" s="156"/>
      <c r="R70" s="156"/>
      <c r="S70" s="156"/>
      <c r="U70" s="3"/>
      <c r="X70" s="20"/>
      <c r="Y70" s="152"/>
      <c r="Z70" s="152"/>
      <c r="AA70" s="152"/>
      <c r="AB70" s="152"/>
      <c r="AC70" s="152"/>
      <c r="AD70" s="152"/>
      <c r="AE70" s="152"/>
      <c r="AF70" s="152"/>
      <c r="AG70" s="3"/>
      <c r="AJ70" s="20"/>
      <c r="AK70" s="152"/>
      <c r="AL70" s="76"/>
      <c r="AM70" s="76"/>
      <c r="AN70" s="150"/>
      <c r="AO70" s="8"/>
      <c r="AP70" s="76"/>
      <c r="AQ70" s="76"/>
      <c r="AR70" s="150"/>
      <c r="AS70" s="3"/>
      <c r="AU70" s="20"/>
      <c r="AV70" s="184"/>
      <c r="AW70" s="151"/>
      <c r="AX70" s="151"/>
      <c r="AY70" s="151"/>
      <c r="AZ70" s="151"/>
      <c r="BA70" s="151"/>
      <c r="BB70" s="151"/>
      <c r="BC70" s="185"/>
      <c r="BD70" s="3"/>
      <c r="BF70" s="20"/>
      <c r="BO70" s="3"/>
    </row>
    <row r="71" spans="12:67" ht="15" customHeight="1" x14ac:dyDescent="0.3">
      <c r="L71" s="20"/>
      <c r="M71" s="155"/>
      <c r="N71" s="156"/>
      <c r="O71" s="156"/>
      <c r="P71" s="155"/>
      <c r="Q71" s="155"/>
      <c r="R71" s="156"/>
      <c r="T71" s="155"/>
      <c r="U71" s="3"/>
      <c r="X71" s="20"/>
      <c r="Y71" s="152"/>
      <c r="Z71" s="152"/>
      <c r="AA71" s="152"/>
      <c r="AB71" s="152"/>
      <c r="AC71" s="152"/>
      <c r="AD71" s="152"/>
      <c r="AE71" s="152"/>
      <c r="AF71" s="152"/>
      <c r="AG71" s="3"/>
      <c r="AJ71" s="20"/>
      <c r="AK71" s="8"/>
      <c r="AL71" s="76"/>
      <c r="AM71" s="8"/>
      <c r="AN71" s="8"/>
      <c r="AO71" s="148"/>
      <c r="AP71" s="76"/>
      <c r="AQ71" s="8"/>
      <c r="AR71" s="8"/>
      <c r="AS71" s="3"/>
      <c r="AU71" s="20"/>
      <c r="AV71" s="186"/>
      <c r="AW71" s="187"/>
      <c r="AX71" s="187"/>
      <c r="AY71" s="187"/>
      <c r="AZ71" s="187"/>
      <c r="BA71" s="187"/>
      <c r="BB71" s="187"/>
      <c r="BC71" s="188"/>
      <c r="BD71" s="3"/>
      <c r="BF71" s="20"/>
      <c r="BO71" s="3"/>
    </row>
    <row r="72" spans="12:67" ht="15" customHeight="1" thickBot="1" x14ac:dyDescent="0.35">
      <c r="L72" s="21"/>
      <c r="M72" s="4"/>
      <c r="N72" s="4"/>
      <c r="O72" s="4"/>
      <c r="P72" s="4"/>
      <c r="Q72" s="4"/>
      <c r="R72" s="4"/>
      <c r="S72" s="4"/>
      <c r="T72" s="4"/>
      <c r="U72" s="22"/>
      <c r="X72" s="21"/>
      <c r="Y72" s="4"/>
      <c r="Z72" s="4"/>
      <c r="AA72" s="4"/>
      <c r="AB72" s="4"/>
      <c r="AC72" s="4"/>
      <c r="AD72" s="4"/>
      <c r="AE72" s="4"/>
      <c r="AF72" s="4"/>
      <c r="AG72" s="22"/>
      <c r="AJ72" s="21"/>
      <c r="AK72" s="4"/>
      <c r="AL72" s="4"/>
      <c r="AM72" s="4"/>
      <c r="AN72" s="4"/>
      <c r="AO72" s="4"/>
      <c r="AP72" s="4"/>
      <c r="AQ72" s="4"/>
      <c r="AR72" s="4"/>
      <c r="AS72" s="22"/>
      <c r="AU72" s="21"/>
      <c r="AV72" s="4"/>
      <c r="AW72" s="4"/>
      <c r="AX72" s="4"/>
      <c r="AY72" s="4"/>
      <c r="AZ72" s="4"/>
      <c r="BA72" s="4"/>
      <c r="BB72" s="4"/>
      <c r="BC72" s="4"/>
      <c r="BD72" s="22"/>
      <c r="BF72" s="21"/>
      <c r="BG72" s="4"/>
      <c r="BH72" s="4"/>
      <c r="BI72" s="4"/>
      <c r="BJ72" s="4"/>
      <c r="BK72" s="4"/>
      <c r="BL72" s="4"/>
      <c r="BM72" s="4"/>
      <c r="BN72" s="4"/>
      <c r="BO72" s="22"/>
    </row>
    <row r="73" spans="12:67" ht="15" customHeight="1" x14ac:dyDescent="0.3">
      <c r="L73" s="1" t="s">
        <v>11</v>
      </c>
      <c r="M73" s="1" t="s">
        <v>297</v>
      </c>
      <c r="X73" s="1" t="s">
        <v>18</v>
      </c>
      <c r="Y73" s="1" t="s">
        <v>298</v>
      </c>
      <c r="AJ73" s="1" t="s">
        <v>19</v>
      </c>
      <c r="AK73" s="1" t="s">
        <v>299</v>
      </c>
      <c r="AU73" s="1" t="s">
        <v>20</v>
      </c>
      <c r="AV73" s="1" t="s">
        <v>379</v>
      </c>
      <c r="BF73" s="1" t="s">
        <v>21</v>
      </c>
      <c r="BG73" s="1" t="s">
        <v>404</v>
      </c>
    </row>
    <row r="106" spans="15:30" ht="15" customHeight="1" x14ac:dyDescent="0.3">
      <c r="P106" s="140"/>
      <c r="AB106" s="140"/>
    </row>
    <row r="107" spans="15:30" ht="15" customHeight="1" x14ac:dyDescent="0.3">
      <c r="O107" s="141"/>
      <c r="AA107" s="141"/>
    </row>
    <row r="110" spans="15:30" ht="15" customHeight="1" x14ac:dyDescent="0.3">
      <c r="AD110" s="140"/>
    </row>
    <row r="111" spans="15:30" ht="15" customHeight="1" x14ac:dyDescent="0.3">
      <c r="AC111" s="141"/>
    </row>
  </sheetData>
  <mergeCells count="2">
    <mergeCell ref="L1:BN2"/>
    <mergeCell ref="L38:BN39"/>
  </mergeCells>
  <pageMargins left="0.7" right="0.7" top="0.75" bottom="0.75" header="0.3" footer="0.3"/>
  <pageSetup orientation="portrait"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84D03-57AD-4BB7-A280-3BFDDC31CCC1}">
  <dimension ref="A1:B45"/>
  <sheetViews>
    <sheetView topLeftCell="A13" workbookViewId="0">
      <selection activeCell="B38" sqref="B38"/>
    </sheetView>
  </sheetViews>
  <sheetFormatPr defaultRowHeight="14.4" x14ac:dyDescent="0.3"/>
  <cols>
    <col min="1" max="1" width="22.33203125" bestFit="1" customWidth="1"/>
  </cols>
  <sheetData>
    <row r="1" spans="1:2" x14ac:dyDescent="0.3">
      <c r="A1" t="s">
        <v>80</v>
      </c>
      <c r="B1" t="s">
        <v>82</v>
      </c>
    </row>
    <row r="3" spans="1:2" x14ac:dyDescent="0.3">
      <c r="A3" t="s">
        <v>81</v>
      </c>
      <c r="B3" t="s">
        <v>83</v>
      </c>
    </row>
    <row r="4" spans="1:2" x14ac:dyDescent="0.3">
      <c r="A4" t="s">
        <v>84</v>
      </c>
      <c r="B4" t="s">
        <v>85</v>
      </c>
    </row>
    <row r="5" spans="1:2" x14ac:dyDescent="0.3">
      <c r="A5" t="s">
        <v>86</v>
      </c>
      <c r="B5" t="s">
        <v>87</v>
      </c>
    </row>
    <row r="6" spans="1:2" x14ac:dyDescent="0.3">
      <c r="A6" t="s">
        <v>88</v>
      </c>
      <c r="B6" t="s">
        <v>89</v>
      </c>
    </row>
    <row r="8" spans="1:2" x14ac:dyDescent="0.3">
      <c r="A8" t="s">
        <v>197</v>
      </c>
      <c r="B8" t="s">
        <v>198</v>
      </c>
    </row>
    <row r="9" spans="1:2" x14ac:dyDescent="0.3">
      <c r="A9" t="s">
        <v>95</v>
      </c>
      <c r="B9" t="s">
        <v>96</v>
      </c>
    </row>
    <row r="10" spans="1:2" x14ac:dyDescent="0.3">
      <c r="A10" t="s">
        <v>97</v>
      </c>
      <c r="B10" t="s">
        <v>98</v>
      </c>
    </row>
    <row r="11" spans="1:2" x14ac:dyDescent="0.3">
      <c r="A11" t="s">
        <v>159</v>
      </c>
      <c r="B11" t="s">
        <v>160</v>
      </c>
    </row>
    <row r="12" spans="1:2" x14ac:dyDescent="0.3">
      <c r="A12" t="s">
        <v>174</v>
      </c>
      <c r="B12" t="s">
        <v>175</v>
      </c>
    </row>
    <row r="14" spans="1:2" x14ac:dyDescent="0.3">
      <c r="A14" t="s">
        <v>163</v>
      </c>
      <c r="B14" t="s">
        <v>164</v>
      </c>
    </row>
    <row r="15" spans="1:2" x14ac:dyDescent="0.3">
      <c r="A15" t="s">
        <v>165</v>
      </c>
      <c r="B15" t="s">
        <v>166</v>
      </c>
    </row>
    <row r="16" spans="1:2" x14ac:dyDescent="0.3">
      <c r="A16" t="s">
        <v>167</v>
      </c>
      <c r="B16" t="s">
        <v>168</v>
      </c>
    </row>
    <row r="17" spans="1:2" x14ac:dyDescent="0.3">
      <c r="A17" t="s">
        <v>246</v>
      </c>
      <c r="B17" t="s">
        <v>247</v>
      </c>
    </row>
    <row r="19" spans="1:2" x14ac:dyDescent="0.3">
      <c r="A19" t="s">
        <v>172</v>
      </c>
      <c r="B19" t="s">
        <v>173</v>
      </c>
    </row>
    <row r="20" spans="1:2" x14ac:dyDescent="0.3">
      <c r="A20" t="s">
        <v>176</v>
      </c>
      <c r="B20" t="s">
        <v>177</v>
      </c>
    </row>
    <row r="22" spans="1:2" x14ac:dyDescent="0.3">
      <c r="A22" t="s">
        <v>178</v>
      </c>
      <c r="B22" t="s">
        <v>179</v>
      </c>
    </row>
    <row r="23" spans="1:2" x14ac:dyDescent="0.3">
      <c r="A23" t="s">
        <v>185</v>
      </c>
      <c r="B23" t="s">
        <v>184</v>
      </c>
    </row>
    <row r="24" spans="1:2" x14ac:dyDescent="0.3">
      <c r="A24" t="s">
        <v>182</v>
      </c>
      <c r="B24" t="s">
        <v>183</v>
      </c>
    </row>
    <row r="25" spans="1:2" x14ac:dyDescent="0.3">
      <c r="A25" t="s">
        <v>180</v>
      </c>
      <c r="B25" t="s">
        <v>181</v>
      </c>
    </row>
    <row r="26" spans="1:2" x14ac:dyDescent="0.3">
      <c r="A26" t="s">
        <v>186</v>
      </c>
      <c r="B26" t="s">
        <v>187</v>
      </c>
    </row>
    <row r="27" spans="1:2" x14ac:dyDescent="0.3">
      <c r="A27" t="s">
        <v>188</v>
      </c>
      <c r="B27" t="s">
        <v>189</v>
      </c>
    </row>
    <row r="28" spans="1:2" x14ac:dyDescent="0.3">
      <c r="A28" t="s">
        <v>303</v>
      </c>
      <c r="B28" t="s">
        <v>376</v>
      </c>
    </row>
    <row r="29" spans="1:2" x14ac:dyDescent="0.3">
      <c r="A29" t="s">
        <v>369</v>
      </c>
      <c r="B29" t="s">
        <v>372</v>
      </c>
    </row>
    <row r="30" spans="1:2" x14ac:dyDescent="0.3">
      <c r="A30" t="s">
        <v>370</v>
      </c>
      <c r="B30" t="s">
        <v>371</v>
      </c>
    </row>
    <row r="31" spans="1:2" x14ac:dyDescent="0.3">
      <c r="A31" t="s">
        <v>374</v>
      </c>
      <c r="B31" t="s">
        <v>375</v>
      </c>
    </row>
    <row r="33" spans="1:2" x14ac:dyDescent="0.3">
      <c r="A33" t="s">
        <v>190</v>
      </c>
      <c r="B33" t="s">
        <v>191</v>
      </c>
    </row>
    <row r="34" spans="1:2" x14ac:dyDescent="0.3">
      <c r="A34" t="s">
        <v>163</v>
      </c>
      <c r="B34" t="s">
        <v>192</v>
      </c>
    </row>
    <row r="35" spans="1:2" x14ac:dyDescent="0.3">
      <c r="A35" t="s">
        <v>193</v>
      </c>
      <c r="B35" t="s">
        <v>194</v>
      </c>
    </row>
    <row r="36" spans="1:2" x14ac:dyDescent="0.3">
      <c r="A36" t="s">
        <v>306</v>
      </c>
      <c r="B36" t="s">
        <v>307</v>
      </c>
    </row>
    <row r="37" spans="1:2" x14ac:dyDescent="0.3">
      <c r="A37" t="s">
        <v>377</v>
      </c>
      <c r="B37" t="s">
        <v>378</v>
      </c>
    </row>
    <row r="39" spans="1:2" x14ac:dyDescent="0.3">
      <c r="A39" t="s">
        <v>195</v>
      </c>
      <c r="B39" t="s">
        <v>196</v>
      </c>
    </row>
    <row r="40" spans="1:2" x14ac:dyDescent="0.3">
      <c r="A40" t="s">
        <v>199</v>
      </c>
      <c r="B40" t="s">
        <v>200</v>
      </c>
    </row>
    <row r="41" spans="1:2" x14ac:dyDescent="0.3">
      <c r="A41" t="s">
        <v>301</v>
      </c>
      <c r="B41" t="s">
        <v>302</v>
      </c>
    </row>
    <row r="42" spans="1:2" x14ac:dyDescent="0.3">
      <c r="A42" t="s">
        <v>201</v>
      </c>
      <c r="B42" t="s">
        <v>202</v>
      </c>
    </row>
    <row r="43" spans="1:2" x14ac:dyDescent="0.3">
      <c r="A43" t="s">
        <v>304</v>
      </c>
      <c r="B43" t="s">
        <v>305</v>
      </c>
    </row>
    <row r="45" spans="1:2" x14ac:dyDescent="0.3">
      <c r="A45" t="s">
        <v>259</v>
      </c>
      <c r="B45" t="s">
        <v>260</v>
      </c>
    </row>
  </sheetData>
  <pageMargins left="0.7" right="0.7" top="0.75" bottom="0.75" header="0.3" footer="0.3"/>
  <pageSetup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E4211-FABF-4128-951B-B320CFE3089D}">
  <dimension ref="A2:E42"/>
  <sheetViews>
    <sheetView topLeftCell="A4" workbookViewId="0">
      <selection activeCell="G23" sqref="G23"/>
    </sheetView>
  </sheetViews>
  <sheetFormatPr defaultRowHeight="14.4" x14ac:dyDescent="0.3"/>
  <cols>
    <col min="1" max="1" width="12.44140625" bestFit="1" customWidth="1"/>
  </cols>
  <sheetData>
    <row r="2" spans="1:5" x14ac:dyDescent="0.3">
      <c r="A2" t="s">
        <v>111</v>
      </c>
      <c r="B2" t="s">
        <v>203</v>
      </c>
      <c r="C2" t="s">
        <v>204</v>
      </c>
      <c r="D2" t="s">
        <v>205</v>
      </c>
    </row>
    <row r="3" spans="1:5" x14ac:dyDescent="0.3">
      <c r="A3" t="s">
        <v>206</v>
      </c>
      <c r="B3">
        <v>120</v>
      </c>
      <c r="C3">
        <v>2.75</v>
      </c>
      <c r="D3">
        <v>2.75</v>
      </c>
    </row>
    <row r="4" spans="1:5" x14ac:dyDescent="0.3">
      <c r="A4" t="s">
        <v>207</v>
      </c>
      <c r="B4">
        <v>120</v>
      </c>
      <c r="C4">
        <v>2.75</v>
      </c>
      <c r="D4">
        <v>2.75</v>
      </c>
    </row>
    <row r="5" spans="1:5" x14ac:dyDescent="0.3">
      <c r="A5" t="s">
        <v>208</v>
      </c>
      <c r="B5">
        <v>120</v>
      </c>
      <c r="C5">
        <v>2.75</v>
      </c>
      <c r="D5">
        <v>2.75</v>
      </c>
    </row>
    <row r="6" spans="1:5" x14ac:dyDescent="0.3">
      <c r="A6" t="s">
        <v>209</v>
      </c>
      <c r="B6">
        <v>120</v>
      </c>
      <c r="C6">
        <v>2.75</v>
      </c>
      <c r="D6">
        <v>2.75</v>
      </c>
      <c r="E6">
        <f>D8-D7</f>
        <v>0.34375</v>
      </c>
    </row>
    <row r="7" spans="1:5" x14ac:dyDescent="0.3">
      <c r="A7" t="s">
        <v>210</v>
      </c>
      <c r="B7">
        <v>120</v>
      </c>
      <c r="C7">
        <v>2.75</v>
      </c>
      <c r="D7">
        <v>2.75</v>
      </c>
    </row>
    <row r="8" spans="1:5" x14ac:dyDescent="0.3">
      <c r="A8" t="s">
        <v>211</v>
      </c>
      <c r="B8">
        <v>120</v>
      </c>
      <c r="C8">
        <v>3.09375</v>
      </c>
      <c r="D8">
        <v>3.09375</v>
      </c>
    </row>
    <row r="9" spans="1:5" x14ac:dyDescent="0.3">
      <c r="A9" t="s">
        <v>212</v>
      </c>
      <c r="B9">
        <v>120</v>
      </c>
      <c r="C9">
        <v>3.09375</v>
      </c>
      <c r="D9">
        <v>3.09375</v>
      </c>
    </row>
    <row r="10" spans="1:5" x14ac:dyDescent="0.3">
      <c r="A10" t="s">
        <v>213</v>
      </c>
      <c r="B10">
        <v>120</v>
      </c>
      <c r="C10">
        <v>3.09375</v>
      </c>
      <c r="D10">
        <v>3.09375</v>
      </c>
    </row>
    <row r="11" spans="1:5" x14ac:dyDescent="0.3">
      <c r="A11" t="s">
        <v>214</v>
      </c>
      <c r="B11">
        <v>120</v>
      </c>
      <c r="C11">
        <v>3.09375</v>
      </c>
      <c r="D11">
        <v>3.09375</v>
      </c>
    </row>
    <row r="12" spans="1:5" x14ac:dyDescent="0.3">
      <c r="A12" t="s">
        <v>215</v>
      </c>
      <c r="B12">
        <v>120</v>
      </c>
      <c r="C12">
        <v>3.09375</v>
      </c>
      <c r="D12">
        <v>3.09375</v>
      </c>
    </row>
    <row r="13" spans="1:5" x14ac:dyDescent="0.3">
      <c r="A13" t="s">
        <v>216</v>
      </c>
      <c r="B13">
        <v>45</v>
      </c>
      <c r="C13">
        <f>120/45*D13</f>
        <v>9.1666666666666661</v>
      </c>
      <c r="D13">
        <f>3.4375</f>
        <v>3.4375</v>
      </c>
    </row>
    <row r="14" spans="1:5" x14ac:dyDescent="0.3">
      <c r="A14" t="s">
        <v>217</v>
      </c>
      <c r="B14">
        <v>45</v>
      </c>
      <c r="C14">
        <f t="shared" ref="C14:C17" si="0">120/45*D14</f>
        <v>9.1666666666666661</v>
      </c>
      <c r="D14">
        <f>3.4375</f>
        <v>3.4375</v>
      </c>
    </row>
    <row r="15" spans="1:5" x14ac:dyDescent="0.3">
      <c r="A15" t="s">
        <v>218</v>
      </c>
      <c r="B15">
        <v>45</v>
      </c>
      <c r="C15">
        <f t="shared" si="0"/>
        <v>9.1666666666666661</v>
      </c>
      <c r="D15">
        <f t="shared" ref="D15:D17" si="1">3.4375</f>
        <v>3.4375</v>
      </c>
    </row>
    <row r="16" spans="1:5" x14ac:dyDescent="0.3">
      <c r="A16" t="s">
        <v>219</v>
      </c>
      <c r="B16">
        <v>45</v>
      </c>
      <c r="C16">
        <f t="shared" si="0"/>
        <v>9.1666666666666661</v>
      </c>
      <c r="D16">
        <f t="shared" si="1"/>
        <v>3.4375</v>
      </c>
    </row>
    <row r="17" spans="1:4" x14ac:dyDescent="0.3">
      <c r="A17" t="s">
        <v>220</v>
      </c>
      <c r="B17">
        <v>45</v>
      </c>
      <c r="C17">
        <f t="shared" si="0"/>
        <v>9.1666666666666661</v>
      </c>
      <c r="D17">
        <f t="shared" si="1"/>
        <v>3.4375</v>
      </c>
    </row>
    <row r="18" spans="1:4" x14ac:dyDescent="0.3">
      <c r="A18" t="s">
        <v>221</v>
      </c>
      <c r="B18">
        <v>90</v>
      </c>
      <c r="C18">
        <f>120/90*D18</f>
        <v>5.0416666666666661</v>
      </c>
      <c r="D18">
        <v>3.78125</v>
      </c>
    </row>
    <row r="19" spans="1:4" x14ac:dyDescent="0.3">
      <c r="A19" t="s">
        <v>222</v>
      </c>
      <c r="B19">
        <v>90</v>
      </c>
      <c r="C19">
        <f t="shared" ref="C19:C21" si="2">120/90*D19</f>
        <v>5.0416666666666661</v>
      </c>
      <c r="D19">
        <v>3.78125</v>
      </c>
    </row>
    <row r="20" spans="1:4" x14ac:dyDescent="0.3">
      <c r="A20" t="s">
        <v>223</v>
      </c>
      <c r="B20">
        <v>90</v>
      </c>
      <c r="C20">
        <f t="shared" si="2"/>
        <v>5.0416666666666661</v>
      </c>
      <c r="D20">
        <v>3.78125</v>
      </c>
    </row>
    <row r="21" spans="1:4" x14ac:dyDescent="0.3">
      <c r="A21" t="s">
        <v>224</v>
      </c>
      <c r="B21">
        <v>90</v>
      </c>
      <c r="C21">
        <f t="shared" si="2"/>
        <v>5.0416666666666661</v>
      </c>
      <c r="D21">
        <v>3.78125</v>
      </c>
    </row>
    <row r="22" spans="1:4" x14ac:dyDescent="0.3">
      <c r="A22" t="s">
        <v>225</v>
      </c>
      <c r="B22">
        <v>90</v>
      </c>
      <c r="C22">
        <f>120/90*D22</f>
        <v>5.0416666666666661</v>
      </c>
      <c r="D22">
        <v>3.78125</v>
      </c>
    </row>
    <row r="23" spans="1:4" x14ac:dyDescent="0.3">
      <c r="A23" t="s">
        <v>226</v>
      </c>
      <c r="B23">
        <v>60</v>
      </c>
      <c r="C23">
        <f>120/60*D23</f>
        <v>8.25</v>
      </c>
      <c r="D23">
        <v>4.125</v>
      </c>
    </row>
    <row r="24" spans="1:4" x14ac:dyDescent="0.3">
      <c r="A24" t="s">
        <v>227</v>
      </c>
      <c r="B24">
        <v>60</v>
      </c>
      <c r="C24">
        <f t="shared" ref="C24:C26" si="3">120/45*D24</f>
        <v>11</v>
      </c>
      <c r="D24">
        <v>4.125</v>
      </c>
    </row>
    <row r="25" spans="1:4" x14ac:dyDescent="0.3">
      <c r="A25" t="s">
        <v>228</v>
      </c>
      <c r="B25">
        <v>60</v>
      </c>
      <c r="C25">
        <f>120/90*D25</f>
        <v>5.5</v>
      </c>
      <c r="D25">
        <v>4.125</v>
      </c>
    </row>
    <row r="26" spans="1:4" x14ac:dyDescent="0.3">
      <c r="A26" t="s">
        <v>229</v>
      </c>
      <c r="B26">
        <v>60</v>
      </c>
      <c r="C26">
        <f t="shared" si="3"/>
        <v>11</v>
      </c>
      <c r="D26">
        <v>4.125</v>
      </c>
    </row>
    <row r="27" spans="1:4" x14ac:dyDescent="0.3">
      <c r="A27" t="s">
        <v>230</v>
      </c>
      <c r="B27">
        <v>60</v>
      </c>
      <c r="C27">
        <v>8.25</v>
      </c>
      <c r="D27">
        <v>4.125</v>
      </c>
    </row>
    <row r="28" spans="1:4" x14ac:dyDescent="0.3">
      <c r="A28" t="s">
        <v>231</v>
      </c>
      <c r="B28">
        <v>120</v>
      </c>
    </row>
    <row r="29" spans="1:4" x14ac:dyDescent="0.3">
      <c r="A29" t="s">
        <v>232</v>
      </c>
      <c r="B29">
        <v>120</v>
      </c>
    </row>
    <row r="30" spans="1:4" x14ac:dyDescent="0.3">
      <c r="A30" t="s">
        <v>233</v>
      </c>
      <c r="B30">
        <v>120</v>
      </c>
    </row>
    <row r="31" spans="1:4" x14ac:dyDescent="0.3">
      <c r="A31" t="s">
        <v>234</v>
      </c>
      <c r="B31">
        <v>120</v>
      </c>
    </row>
    <row r="32" spans="1:4" x14ac:dyDescent="0.3">
      <c r="A32" t="s">
        <v>235</v>
      </c>
      <c r="B32">
        <v>120</v>
      </c>
    </row>
    <row r="33" spans="1:2" x14ac:dyDescent="0.3">
      <c r="A33" t="s">
        <v>236</v>
      </c>
      <c r="B33">
        <v>120</v>
      </c>
    </row>
    <row r="34" spans="1:2" x14ac:dyDescent="0.3">
      <c r="A34" t="s">
        <v>237</v>
      </c>
      <c r="B34">
        <v>120</v>
      </c>
    </row>
    <row r="35" spans="1:2" x14ac:dyDescent="0.3">
      <c r="A35" t="s">
        <v>238</v>
      </c>
      <c r="B35">
        <v>120</v>
      </c>
    </row>
    <row r="36" spans="1:2" x14ac:dyDescent="0.3">
      <c r="A36" t="s">
        <v>239</v>
      </c>
      <c r="B36">
        <v>120</v>
      </c>
    </row>
    <row r="37" spans="1:2" x14ac:dyDescent="0.3">
      <c r="A37" t="s">
        <v>240</v>
      </c>
      <c r="B37">
        <v>120</v>
      </c>
    </row>
    <row r="38" spans="1:2" x14ac:dyDescent="0.3">
      <c r="A38" t="s">
        <v>241</v>
      </c>
      <c r="B38">
        <v>120</v>
      </c>
    </row>
    <row r="39" spans="1:2" x14ac:dyDescent="0.3">
      <c r="A39" t="s">
        <v>242</v>
      </c>
      <c r="B39">
        <v>120</v>
      </c>
    </row>
    <row r="40" spans="1:2" x14ac:dyDescent="0.3">
      <c r="A40" t="s">
        <v>243</v>
      </c>
      <c r="B40">
        <v>120</v>
      </c>
    </row>
    <row r="41" spans="1:2" x14ac:dyDescent="0.3">
      <c r="A41" t="s">
        <v>244</v>
      </c>
      <c r="B41">
        <v>120</v>
      </c>
    </row>
    <row r="42" spans="1:2" x14ac:dyDescent="0.3">
      <c r="A42" t="s">
        <v>245</v>
      </c>
      <c r="B42">
        <v>120</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6BA8C-3E71-4A6E-9CE4-F4B650652C46}">
  <dimension ref="A1:L64"/>
  <sheetViews>
    <sheetView workbookViewId="0">
      <selection activeCell="H27" sqref="H27"/>
    </sheetView>
  </sheetViews>
  <sheetFormatPr defaultRowHeight="14.4" x14ac:dyDescent="0.3"/>
  <cols>
    <col min="1" max="1" width="13.77734375" bestFit="1" customWidth="1"/>
    <col min="2" max="2" width="27.6640625" bestFit="1" customWidth="1"/>
    <col min="3" max="3" width="11.88671875" bestFit="1" customWidth="1"/>
    <col min="11" max="11" width="10.77734375" bestFit="1" customWidth="1"/>
  </cols>
  <sheetData>
    <row r="1" spans="1:12" x14ac:dyDescent="0.3">
      <c r="A1" t="s">
        <v>102</v>
      </c>
      <c r="B1" t="s">
        <v>121</v>
      </c>
      <c r="C1">
        <v>21</v>
      </c>
    </row>
    <row r="2" spans="1:12" x14ac:dyDescent="0.3">
      <c r="A2" t="s">
        <v>99</v>
      </c>
      <c r="B2" t="s">
        <v>122</v>
      </c>
      <c r="C2">
        <v>0</v>
      </c>
      <c r="D2">
        <v>0</v>
      </c>
      <c r="E2">
        <v>0</v>
      </c>
    </row>
    <row r="3" spans="1:12" x14ac:dyDescent="0.3">
      <c r="A3" t="s">
        <v>100</v>
      </c>
      <c r="B3" t="s">
        <v>123</v>
      </c>
      <c r="C3">
        <v>0</v>
      </c>
      <c r="D3">
        <v>0</v>
      </c>
      <c r="E3">
        <v>0</v>
      </c>
    </row>
    <row r="4" spans="1:12" x14ac:dyDescent="0.3">
      <c r="A4" t="s">
        <v>101</v>
      </c>
      <c r="B4" t="s">
        <v>124</v>
      </c>
      <c r="C4">
        <v>0</v>
      </c>
      <c r="D4">
        <v>0</v>
      </c>
      <c r="E4">
        <v>0</v>
      </c>
    </row>
    <row r="5" spans="1:12" x14ac:dyDescent="0.3">
      <c r="A5" t="s">
        <v>103</v>
      </c>
      <c r="B5" t="s">
        <v>125</v>
      </c>
      <c r="C5">
        <v>0</v>
      </c>
      <c r="D5">
        <v>0</v>
      </c>
      <c r="G5">
        <v>0</v>
      </c>
      <c r="H5" s="123" t="s">
        <v>104</v>
      </c>
    </row>
    <row r="7" spans="1:12" x14ac:dyDescent="0.3">
      <c r="A7" t="s">
        <v>105</v>
      </c>
    </row>
    <row r="8" spans="1:12" ht="15" thickBot="1" x14ac:dyDescent="0.35">
      <c r="A8" t="s">
        <v>102</v>
      </c>
      <c r="B8" t="s">
        <v>109</v>
      </c>
      <c r="C8">
        <v>5</v>
      </c>
    </row>
    <row r="9" spans="1:12" x14ac:dyDescent="0.3">
      <c r="A9" t="s">
        <v>99</v>
      </c>
      <c r="B9" t="s">
        <v>108</v>
      </c>
      <c r="C9">
        <v>0</v>
      </c>
      <c r="F9" s="169" t="s">
        <v>380</v>
      </c>
      <c r="G9" s="170" t="s">
        <v>381</v>
      </c>
      <c r="H9" s="170" t="s">
        <v>382</v>
      </c>
      <c r="I9" s="171" t="s">
        <v>383</v>
      </c>
      <c r="J9" s="169" t="s">
        <v>384</v>
      </c>
      <c r="K9" s="171" t="s">
        <v>388</v>
      </c>
      <c r="L9" t="s">
        <v>390</v>
      </c>
    </row>
    <row r="10" spans="1:12" ht="15" thickBot="1" x14ac:dyDescent="0.35">
      <c r="A10" t="s">
        <v>106</v>
      </c>
      <c r="B10" t="s">
        <v>107</v>
      </c>
      <c r="C10">
        <v>0</v>
      </c>
      <c r="F10" s="172" t="s">
        <v>385</v>
      </c>
      <c r="G10" s="173" t="s">
        <v>386</v>
      </c>
      <c r="H10" s="173" t="s">
        <v>386</v>
      </c>
      <c r="I10" s="178" t="s">
        <v>387</v>
      </c>
      <c r="J10" s="172" t="s">
        <v>373</v>
      </c>
      <c r="K10" s="178" t="s">
        <v>389</v>
      </c>
      <c r="L10" t="s">
        <v>391</v>
      </c>
    </row>
    <row r="11" spans="1:12" x14ac:dyDescent="0.3">
      <c r="A11" t="s">
        <v>110</v>
      </c>
      <c r="B11" t="s">
        <v>111</v>
      </c>
      <c r="C11" t="s">
        <v>114</v>
      </c>
    </row>
    <row r="12" spans="1:12" x14ac:dyDescent="0.3">
      <c r="A12" t="s">
        <v>112</v>
      </c>
      <c r="B12" t="s">
        <v>116</v>
      </c>
      <c r="C12" t="s">
        <v>114</v>
      </c>
    </row>
    <row r="13" spans="1:12" x14ac:dyDescent="0.3">
      <c r="A13" t="s">
        <v>115</v>
      </c>
      <c r="B13" t="s">
        <v>113</v>
      </c>
      <c r="C13">
        <v>0</v>
      </c>
    </row>
    <row r="14" spans="1:12" x14ac:dyDescent="0.3">
      <c r="A14" t="s">
        <v>119</v>
      </c>
      <c r="B14" t="s">
        <v>120</v>
      </c>
      <c r="C14" t="s">
        <v>114</v>
      </c>
    </row>
    <row r="15" spans="1:12" x14ac:dyDescent="0.3">
      <c r="A15" t="s">
        <v>118</v>
      </c>
      <c r="B15" t="s">
        <v>117</v>
      </c>
      <c r="C15">
        <v>0</v>
      </c>
    </row>
    <row r="17" spans="1:3" x14ac:dyDescent="0.3">
      <c r="A17" t="s">
        <v>126</v>
      </c>
      <c r="C17" t="s">
        <v>155</v>
      </c>
    </row>
    <row r="18" spans="1:3" x14ac:dyDescent="0.3">
      <c r="A18">
        <v>0</v>
      </c>
      <c r="B18" t="s">
        <v>127</v>
      </c>
      <c r="C18">
        <v>0</v>
      </c>
    </row>
    <row r="19" spans="1:3" x14ac:dyDescent="0.3">
      <c r="A19">
        <v>1</v>
      </c>
      <c r="B19" t="s">
        <v>128</v>
      </c>
      <c r="C19">
        <v>1</v>
      </c>
    </row>
    <row r="20" spans="1:3" x14ac:dyDescent="0.3">
      <c r="A20">
        <v>2</v>
      </c>
      <c r="B20" t="s">
        <v>129</v>
      </c>
      <c r="C20">
        <v>2</v>
      </c>
    </row>
    <row r="21" spans="1:3" x14ac:dyDescent="0.3">
      <c r="A21">
        <v>3</v>
      </c>
      <c r="B21" t="s">
        <v>130</v>
      </c>
      <c r="C21">
        <v>3</v>
      </c>
    </row>
    <row r="22" spans="1:3" x14ac:dyDescent="0.3">
      <c r="A22">
        <v>4</v>
      </c>
      <c r="B22" t="s">
        <v>131</v>
      </c>
      <c r="C22">
        <v>4</v>
      </c>
    </row>
    <row r="23" spans="1:3" x14ac:dyDescent="0.3">
      <c r="A23">
        <v>5</v>
      </c>
      <c r="B23" t="s">
        <v>132</v>
      </c>
      <c r="C23">
        <v>5</v>
      </c>
    </row>
    <row r="24" spans="1:3" x14ac:dyDescent="0.3">
      <c r="A24">
        <v>6</v>
      </c>
      <c r="B24" t="s">
        <v>133</v>
      </c>
      <c r="C24">
        <v>6</v>
      </c>
    </row>
    <row r="25" spans="1:3" x14ac:dyDescent="0.3">
      <c r="A25">
        <v>7</v>
      </c>
      <c r="B25" t="s">
        <v>134</v>
      </c>
      <c r="C25">
        <v>7</v>
      </c>
    </row>
    <row r="26" spans="1:3" x14ac:dyDescent="0.3">
      <c r="A26">
        <v>8</v>
      </c>
      <c r="B26" t="s">
        <v>135</v>
      </c>
      <c r="C26">
        <v>8</v>
      </c>
    </row>
    <row r="27" spans="1:3" x14ac:dyDescent="0.3">
      <c r="A27">
        <v>9</v>
      </c>
      <c r="B27" t="s">
        <v>136</v>
      </c>
    </row>
    <row r="28" spans="1:3" x14ac:dyDescent="0.3">
      <c r="A28">
        <v>10</v>
      </c>
      <c r="B28">
        <v>1</v>
      </c>
    </row>
    <row r="29" spans="1:3" x14ac:dyDescent="0.3">
      <c r="A29">
        <v>11</v>
      </c>
      <c r="B29">
        <v>2</v>
      </c>
    </row>
    <row r="30" spans="1:3" x14ac:dyDescent="0.3">
      <c r="A30">
        <v>12</v>
      </c>
      <c r="B30">
        <v>3</v>
      </c>
    </row>
    <row r="31" spans="1:3" x14ac:dyDescent="0.3">
      <c r="A31">
        <v>13</v>
      </c>
      <c r="B31">
        <v>4</v>
      </c>
    </row>
    <row r="32" spans="1:3" x14ac:dyDescent="0.3">
      <c r="A32">
        <v>14</v>
      </c>
      <c r="B32">
        <v>5</v>
      </c>
    </row>
    <row r="33" spans="1:2" x14ac:dyDescent="0.3">
      <c r="A33">
        <v>15</v>
      </c>
      <c r="B33">
        <v>6</v>
      </c>
    </row>
    <row r="34" spans="1:2" x14ac:dyDescent="0.3">
      <c r="A34">
        <v>16</v>
      </c>
      <c r="B34">
        <v>7</v>
      </c>
    </row>
    <row r="35" spans="1:2" x14ac:dyDescent="0.3">
      <c r="A35">
        <v>17</v>
      </c>
      <c r="B35">
        <v>8</v>
      </c>
    </row>
    <row r="36" spans="1:2" x14ac:dyDescent="0.3">
      <c r="A36">
        <v>18</v>
      </c>
      <c r="B36" t="s">
        <v>137</v>
      </c>
    </row>
    <row r="37" spans="1:2" x14ac:dyDescent="0.3">
      <c r="A37">
        <v>19</v>
      </c>
      <c r="B37" t="s">
        <v>138</v>
      </c>
    </row>
    <row r="38" spans="1:2" x14ac:dyDescent="0.3">
      <c r="A38">
        <v>20</v>
      </c>
      <c r="B38" t="s">
        <v>139</v>
      </c>
    </row>
    <row r="39" spans="1:2" x14ac:dyDescent="0.3">
      <c r="A39">
        <v>21</v>
      </c>
      <c r="B39" t="s">
        <v>140</v>
      </c>
    </row>
    <row r="40" spans="1:2" x14ac:dyDescent="0.3">
      <c r="A40">
        <v>22</v>
      </c>
      <c r="B40" t="s">
        <v>141</v>
      </c>
    </row>
    <row r="41" spans="1:2" x14ac:dyDescent="0.3">
      <c r="A41">
        <v>23</v>
      </c>
      <c r="B41" t="s">
        <v>142</v>
      </c>
    </row>
    <row r="42" spans="1:2" x14ac:dyDescent="0.3">
      <c r="A42">
        <v>24</v>
      </c>
      <c r="B42" t="s">
        <v>143</v>
      </c>
    </row>
    <row r="43" spans="1:2" x14ac:dyDescent="0.3">
      <c r="A43">
        <v>25</v>
      </c>
      <c r="B43" t="s">
        <v>144</v>
      </c>
    </row>
    <row r="44" spans="1:2" x14ac:dyDescent="0.3">
      <c r="A44">
        <v>26</v>
      </c>
      <c r="B44" t="s">
        <v>145</v>
      </c>
    </row>
    <row r="45" spans="1:2" x14ac:dyDescent="0.3">
      <c r="A45">
        <v>27</v>
      </c>
      <c r="B45" t="s">
        <v>146</v>
      </c>
    </row>
    <row r="46" spans="1:2" x14ac:dyDescent="0.3">
      <c r="A46">
        <v>28</v>
      </c>
      <c r="B46" t="s">
        <v>147</v>
      </c>
    </row>
    <row r="47" spans="1:2" x14ac:dyDescent="0.3">
      <c r="A47">
        <v>29</v>
      </c>
      <c r="B47" t="s">
        <v>148</v>
      </c>
    </row>
    <row r="48" spans="1:2" x14ac:dyDescent="0.3">
      <c r="A48">
        <v>30</v>
      </c>
      <c r="B48" t="s">
        <v>149</v>
      </c>
    </row>
    <row r="49" spans="1:2" x14ac:dyDescent="0.3">
      <c r="A49">
        <v>31</v>
      </c>
      <c r="B49" t="s">
        <v>150</v>
      </c>
    </row>
    <row r="50" spans="1:2" x14ac:dyDescent="0.3">
      <c r="A50">
        <v>32</v>
      </c>
      <c r="B50" t="s">
        <v>151</v>
      </c>
    </row>
    <row r="51" spans="1:2" x14ac:dyDescent="0.3">
      <c r="A51">
        <v>33</v>
      </c>
      <c r="B51" t="s">
        <v>152</v>
      </c>
    </row>
    <row r="52" spans="1:2" x14ac:dyDescent="0.3">
      <c r="A52">
        <v>34</v>
      </c>
      <c r="B52" t="s">
        <v>153</v>
      </c>
    </row>
    <row r="53" spans="1:2" x14ac:dyDescent="0.3">
      <c r="A53">
        <v>35</v>
      </c>
      <c r="B53" t="s">
        <v>154</v>
      </c>
    </row>
    <row r="54" spans="1:2" x14ac:dyDescent="0.3">
      <c r="A54">
        <v>36</v>
      </c>
    </row>
    <row r="55" spans="1:2" x14ac:dyDescent="0.3">
      <c r="A55">
        <v>37</v>
      </c>
    </row>
    <row r="56" spans="1:2" x14ac:dyDescent="0.3">
      <c r="A56">
        <v>38</v>
      </c>
    </row>
    <row r="57" spans="1:2" x14ac:dyDescent="0.3">
      <c r="A57">
        <v>39</v>
      </c>
    </row>
    <row r="58" spans="1:2" x14ac:dyDescent="0.3">
      <c r="A58">
        <v>40</v>
      </c>
    </row>
    <row r="59" spans="1:2" x14ac:dyDescent="0.3">
      <c r="A59">
        <v>41</v>
      </c>
    </row>
    <row r="60" spans="1:2" x14ac:dyDescent="0.3">
      <c r="A60">
        <v>42</v>
      </c>
    </row>
    <row r="61" spans="1:2" x14ac:dyDescent="0.3">
      <c r="A61">
        <v>43</v>
      </c>
    </row>
    <row r="62" spans="1:2" x14ac:dyDescent="0.3">
      <c r="A62">
        <v>44</v>
      </c>
    </row>
    <row r="63" spans="1:2" x14ac:dyDescent="0.3">
      <c r="A63">
        <v>45</v>
      </c>
    </row>
    <row r="64" spans="1:2" x14ac:dyDescent="0.3">
      <c r="A64">
        <v>46</v>
      </c>
    </row>
  </sheetData>
  <hyperlinks>
    <hyperlink ref="H5" r:id="rId1" xr:uid="{8E0288D3-72DA-490D-8123-E3A786C182CE}"/>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71049-4EE8-48ED-8D4F-78BB2465FC79}">
  <dimension ref="A1:T86"/>
  <sheetViews>
    <sheetView zoomScale="98" zoomScaleNormal="98" workbookViewId="0">
      <pane ySplit="2" topLeftCell="A3" activePane="bottomLeft" state="frozen"/>
      <selection pane="bottomLeft" activeCell="T56" sqref="T56"/>
    </sheetView>
  </sheetViews>
  <sheetFormatPr defaultRowHeight="14.4" x14ac:dyDescent="0.3"/>
  <cols>
    <col min="2" max="2" width="22.21875" bestFit="1" customWidth="1"/>
    <col min="3" max="3" width="14.6640625" bestFit="1" customWidth="1"/>
    <col min="4" max="4" width="19.5546875" bestFit="1" customWidth="1"/>
    <col min="5" max="5" width="16" bestFit="1" customWidth="1"/>
    <col min="6" max="6" width="11.33203125" bestFit="1" customWidth="1"/>
    <col min="16" max="16" width="9.5546875" bestFit="1" customWidth="1"/>
  </cols>
  <sheetData>
    <row r="1" spans="1:20" x14ac:dyDescent="0.3">
      <c r="D1" t="s">
        <v>366</v>
      </c>
      <c r="E1" t="s">
        <v>325</v>
      </c>
      <c r="F1">
        <v>0</v>
      </c>
      <c r="G1">
        <v>1</v>
      </c>
      <c r="H1">
        <v>2</v>
      </c>
      <c r="I1">
        <v>3</v>
      </c>
      <c r="J1">
        <v>4</v>
      </c>
      <c r="K1">
        <v>5</v>
      </c>
      <c r="L1">
        <v>6</v>
      </c>
      <c r="M1">
        <v>7</v>
      </c>
      <c r="N1">
        <v>8</v>
      </c>
      <c r="O1">
        <v>9</v>
      </c>
      <c r="P1">
        <v>10</v>
      </c>
      <c r="Q1">
        <v>11</v>
      </c>
      <c r="R1">
        <v>12</v>
      </c>
      <c r="S1">
        <v>13</v>
      </c>
    </row>
    <row r="2" spans="1:20" x14ac:dyDescent="0.3">
      <c r="B2" t="s">
        <v>308</v>
      </c>
      <c r="C2" t="s">
        <v>309</v>
      </c>
      <c r="D2" t="s">
        <v>310</v>
      </c>
      <c r="E2" t="s">
        <v>327</v>
      </c>
      <c r="F2" s="160" t="s">
        <v>311</v>
      </c>
      <c r="G2" t="s">
        <v>321</v>
      </c>
      <c r="H2" t="s">
        <v>312</v>
      </c>
      <c r="I2" t="s">
        <v>322</v>
      </c>
      <c r="J2" t="s">
        <v>313</v>
      </c>
      <c r="K2" t="s">
        <v>323</v>
      </c>
      <c r="L2" t="s">
        <v>314</v>
      </c>
      <c r="M2" t="s">
        <v>324</v>
      </c>
      <c r="N2" t="s">
        <v>315</v>
      </c>
      <c r="O2" t="s">
        <v>320</v>
      </c>
      <c r="P2" s="160" t="s">
        <v>316</v>
      </c>
      <c r="Q2" t="s">
        <v>317</v>
      </c>
      <c r="R2" t="s">
        <v>318</v>
      </c>
      <c r="S2" t="s">
        <v>319</v>
      </c>
    </row>
    <row r="3" spans="1:20" x14ac:dyDescent="0.3">
      <c r="A3" s="161" t="s">
        <v>326</v>
      </c>
      <c r="B3">
        <v>10</v>
      </c>
      <c r="C3">
        <v>10</v>
      </c>
      <c r="D3">
        <v>0</v>
      </c>
      <c r="E3">
        <v>10.68</v>
      </c>
      <c r="F3" s="168">
        <v>30</v>
      </c>
      <c r="G3" s="168">
        <f>F3+(($P$3-$F$3)/10)</f>
        <v>110.13845527805393</v>
      </c>
      <c r="H3" s="168">
        <f t="shared" ref="H3:O3" si="0">G3+(($P$3-$F$3)/10)</f>
        <v>190.27691055610785</v>
      </c>
      <c r="I3" s="168">
        <f t="shared" si="0"/>
        <v>270.41536583416178</v>
      </c>
      <c r="J3" s="168">
        <f t="shared" si="0"/>
        <v>350.5538211122157</v>
      </c>
      <c r="K3" s="168">
        <f t="shared" si="0"/>
        <v>430.69227639026963</v>
      </c>
      <c r="L3" s="168">
        <f t="shared" si="0"/>
        <v>510.83073166832355</v>
      </c>
      <c r="M3" s="168">
        <f t="shared" si="0"/>
        <v>590.96918694637748</v>
      </c>
      <c r="N3" s="168">
        <f t="shared" si="0"/>
        <v>671.1076422244314</v>
      </c>
      <c r="O3" s="168">
        <f t="shared" si="0"/>
        <v>751.24609750248533</v>
      </c>
      <c r="P3" s="168">
        <f>5*LN(B3+0.9)*5*LN(C3+0.9)*(2.71828^(-1/45*(E3-90)))</f>
        <v>831.38455278053925</v>
      </c>
      <c r="Q3" s="168">
        <f>P3+100</f>
        <v>931.38455278053925</v>
      </c>
      <c r="R3" s="168">
        <f t="shared" ref="R3:S3" si="1">Q3+100</f>
        <v>1031.3845527805393</v>
      </c>
      <c r="S3" s="168">
        <f t="shared" si="1"/>
        <v>1131.3845527805393</v>
      </c>
      <c r="T3">
        <v>0</v>
      </c>
    </row>
    <row r="4" spans="1:20" x14ac:dyDescent="0.3">
      <c r="A4" t="s">
        <v>328</v>
      </c>
      <c r="B4">
        <v>10</v>
      </c>
      <c r="C4">
        <v>10</v>
      </c>
      <c r="D4">
        <v>0</v>
      </c>
      <c r="E4">
        <v>15.34</v>
      </c>
      <c r="F4" s="168">
        <v>30</v>
      </c>
      <c r="G4" s="168">
        <f>F4+(($P$4-$F$4)/10)</f>
        <v>101.95979236518589</v>
      </c>
      <c r="H4" s="168">
        <f t="shared" ref="H4:O4" si="2">G4+(($P$4-$F$4)/10)</f>
        <v>173.91958473037178</v>
      </c>
      <c r="I4" s="168">
        <f t="shared" si="2"/>
        <v>245.87937709555769</v>
      </c>
      <c r="J4" s="168">
        <f t="shared" si="2"/>
        <v>317.83916946074356</v>
      </c>
      <c r="K4" s="168">
        <f t="shared" si="2"/>
        <v>389.79896182592944</v>
      </c>
      <c r="L4" s="168">
        <f t="shared" si="2"/>
        <v>461.75875419111532</v>
      </c>
      <c r="M4" s="168">
        <f t="shared" si="2"/>
        <v>533.71854655630125</v>
      </c>
      <c r="N4" s="168">
        <f t="shared" si="2"/>
        <v>605.67833892148712</v>
      </c>
      <c r="O4" s="168">
        <f t="shared" si="2"/>
        <v>677.638131286673</v>
      </c>
      <c r="P4" s="168">
        <f t="shared" ref="P4:P41" si="3">5*LN(B4+0.9)*5*LN(C4+0.9)*(2.71828^(-1/45*(E4-90)))</f>
        <v>749.59792365185888</v>
      </c>
      <c r="Q4" s="168">
        <f t="shared" ref="Q4:S4" si="4">P4+100</f>
        <v>849.59792365185888</v>
      </c>
      <c r="R4" s="168">
        <f t="shared" si="4"/>
        <v>949.59792365185888</v>
      </c>
      <c r="S4" s="168">
        <f t="shared" si="4"/>
        <v>1049.5979236518588</v>
      </c>
      <c r="T4">
        <v>1</v>
      </c>
    </row>
    <row r="5" spans="1:20" x14ac:dyDescent="0.3">
      <c r="A5" t="s">
        <v>329</v>
      </c>
      <c r="B5">
        <v>10</v>
      </c>
      <c r="C5">
        <v>10</v>
      </c>
      <c r="D5">
        <v>0</v>
      </c>
      <c r="E5">
        <v>15.86</v>
      </c>
      <c r="F5" s="168">
        <v>30</v>
      </c>
      <c r="G5" s="168">
        <f>F5+(($P$5-$F$5)/10)</f>
        <v>101.09857639707408</v>
      </c>
      <c r="H5" s="168">
        <f t="shared" ref="H5:O5" si="5">G5+(($P$5-$F$5)/10)</f>
        <v>172.19715279414817</v>
      </c>
      <c r="I5" s="168">
        <f t="shared" si="5"/>
        <v>243.29572919122225</v>
      </c>
      <c r="J5" s="168">
        <f t="shared" si="5"/>
        <v>314.39430558829633</v>
      </c>
      <c r="K5" s="168">
        <f t="shared" si="5"/>
        <v>385.49288198537045</v>
      </c>
      <c r="L5" s="168">
        <f t="shared" si="5"/>
        <v>456.59145838244456</v>
      </c>
      <c r="M5" s="168">
        <f t="shared" si="5"/>
        <v>527.69003477951867</v>
      </c>
      <c r="N5" s="168">
        <f t="shared" si="5"/>
        <v>598.78861117659278</v>
      </c>
      <c r="O5" s="168">
        <f t="shared" si="5"/>
        <v>669.88718757366689</v>
      </c>
      <c r="P5" s="168">
        <f t="shared" si="3"/>
        <v>740.98576397074089</v>
      </c>
      <c r="Q5" s="168">
        <f t="shared" ref="Q5:S5" si="6">P5+100</f>
        <v>840.98576397074089</v>
      </c>
      <c r="R5" s="168">
        <f t="shared" si="6"/>
        <v>940.98576397074089</v>
      </c>
      <c r="S5" s="168">
        <f t="shared" si="6"/>
        <v>1040.9857639707409</v>
      </c>
      <c r="T5">
        <v>2</v>
      </c>
    </row>
    <row r="6" spans="1:20" x14ac:dyDescent="0.3">
      <c r="A6" t="s">
        <v>330</v>
      </c>
      <c r="B6">
        <v>10</v>
      </c>
      <c r="C6">
        <v>10</v>
      </c>
      <c r="D6">
        <v>0</v>
      </c>
      <c r="E6">
        <v>23.5</v>
      </c>
      <c r="F6" s="168">
        <v>30</v>
      </c>
      <c r="G6" s="168">
        <f>F6+(($P$6-$F$6)/10)</f>
        <v>89.528262631004111</v>
      </c>
      <c r="H6" s="168">
        <f t="shared" ref="H6:O6" si="7">G6+(($P$6-$F$6)/10)</f>
        <v>149.05652526200822</v>
      </c>
      <c r="I6" s="168">
        <f t="shared" si="7"/>
        <v>208.58478789301233</v>
      </c>
      <c r="J6" s="168">
        <f t="shared" si="7"/>
        <v>268.11305052401644</v>
      </c>
      <c r="K6" s="168">
        <f t="shared" si="7"/>
        <v>327.64131315502055</v>
      </c>
      <c r="L6" s="168">
        <f t="shared" si="7"/>
        <v>387.16957578602467</v>
      </c>
      <c r="M6" s="168">
        <f t="shared" si="7"/>
        <v>446.69783841702878</v>
      </c>
      <c r="N6" s="168">
        <f t="shared" si="7"/>
        <v>506.22610104803289</v>
      </c>
      <c r="O6" s="168">
        <f t="shared" si="7"/>
        <v>565.75436367903694</v>
      </c>
      <c r="P6" s="168">
        <f t="shared" si="3"/>
        <v>625.28262631004111</v>
      </c>
      <c r="Q6" s="168">
        <f t="shared" ref="Q6:S6" si="8">P6+100</f>
        <v>725.28262631004111</v>
      </c>
      <c r="R6" s="168">
        <f t="shared" si="8"/>
        <v>825.28262631004111</v>
      </c>
      <c r="S6" s="168">
        <f t="shared" si="8"/>
        <v>925.28262631004111</v>
      </c>
      <c r="T6">
        <v>3</v>
      </c>
    </row>
    <row r="7" spans="1:20" x14ac:dyDescent="0.3">
      <c r="A7" t="s">
        <v>331</v>
      </c>
      <c r="B7">
        <v>10</v>
      </c>
      <c r="C7">
        <v>10</v>
      </c>
      <c r="D7">
        <v>0</v>
      </c>
      <c r="E7">
        <v>14.58</v>
      </c>
      <c r="F7" s="168">
        <v>30</v>
      </c>
      <c r="G7" s="168">
        <f>F7+(($P$7-$F$7)/10)</f>
        <v>103.23653010436925</v>
      </c>
      <c r="H7" s="168">
        <f t="shared" ref="H7:O7" si="9">G7+(($P$7-$F$7)/10)</f>
        <v>176.4730602087385</v>
      </c>
      <c r="I7" s="168">
        <f t="shared" si="9"/>
        <v>249.70959031310775</v>
      </c>
      <c r="J7" s="168">
        <f t="shared" si="9"/>
        <v>322.946120417477</v>
      </c>
      <c r="K7" s="168">
        <f t="shared" si="9"/>
        <v>396.18265052184626</v>
      </c>
      <c r="L7" s="168">
        <f t="shared" si="9"/>
        <v>469.41918062621551</v>
      </c>
      <c r="M7" s="168">
        <f t="shared" si="9"/>
        <v>542.65571073058481</v>
      </c>
      <c r="N7" s="168">
        <f t="shared" si="9"/>
        <v>615.89224083495401</v>
      </c>
      <c r="O7" s="168">
        <f t="shared" si="9"/>
        <v>689.1287709393232</v>
      </c>
      <c r="P7" s="168">
        <f t="shared" si="3"/>
        <v>762.36530104369251</v>
      </c>
      <c r="Q7" s="168">
        <f t="shared" ref="Q7:S7" si="10">P7+100</f>
        <v>862.36530104369251</v>
      </c>
      <c r="R7" s="168">
        <f t="shared" si="10"/>
        <v>962.36530104369251</v>
      </c>
      <c r="S7" s="168">
        <f t="shared" si="10"/>
        <v>1062.3653010436924</v>
      </c>
      <c r="T7">
        <v>4</v>
      </c>
    </row>
    <row r="8" spans="1:20" x14ac:dyDescent="0.3">
      <c r="A8" s="162" t="s">
        <v>332</v>
      </c>
      <c r="B8">
        <v>10</v>
      </c>
      <c r="C8">
        <v>10</v>
      </c>
      <c r="D8">
        <v>0</v>
      </c>
      <c r="E8">
        <v>21.56</v>
      </c>
      <c r="F8" s="168">
        <v>30</v>
      </c>
      <c r="G8" s="168">
        <f>F8+(($P$8-$F$8)/10)</f>
        <v>92.282874216486491</v>
      </c>
      <c r="H8" s="168">
        <f t="shared" ref="H8:O8" si="11">G8+(($P$8-$F$8)/10)</f>
        <v>154.56574843297298</v>
      </c>
      <c r="I8" s="168">
        <f t="shared" si="11"/>
        <v>216.84862264945946</v>
      </c>
      <c r="J8" s="168">
        <f t="shared" si="11"/>
        <v>279.13149686594596</v>
      </c>
      <c r="K8" s="168">
        <f t="shared" si="11"/>
        <v>341.41437108243247</v>
      </c>
      <c r="L8" s="168">
        <f t="shared" si="11"/>
        <v>403.69724529891897</v>
      </c>
      <c r="M8" s="168">
        <f t="shared" si="11"/>
        <v>465.98011951540548</v>
      </c>
      <c r="N8" s="168">
        <f t="shared" si="11"/>
        <v>528.26299373189192</v>
      </c>
      <c r="O8" s="168">
        <f t="shared" si="11"/>
        <v>590.54586794837837</v>
      </c>
      <c r="P8" s="168">
        <f t="shared" si="3"/>
        <v>652.82874216486493</v>
      </c>
      <c r="Q8" s="168">
        <f t="shared" ref="Q8:S8" si="12">P8+100</f>
        <v>752.82874216486493</v>
      </c>
      <c r="R8" s="168">
        <f t="shared" si="12"/>
        <v>852.82874216486493</v>
      </c>
      <c r="S8" s="168">
        <f t="shared" si="12"/>
        <v>952.82874216486493</v>
      </c>
      <c r="T8">
        <v>5</v>
      </c>
    </row>
    <row r="9" spans="1:20" x14ac:dyDescent="0.3">
      <c r="A9" t="s">
        <v>333</v>
      </c>
      <c r="B9">
        <v>10</v>
      </c>
      <c r="C9">
        <v>10</v>
      </c>
      <c r="D9">
        <v>0</v>
      </c>
      <c r="E9">
        <v>9.36</v>
      </c>
      <c r="F9" s="168">
        <v>30</v>
      </c>
      <c r="G9" s="168">
        <f>F9+(($P$9-$F$9)/10)</f>
        <v>112.61330193275865</v>
      </c>
      <c r="H9" s="168">
        <f t="shared" ref="H9:O9" si="13">G9+(($P$9-$F$9)/10)</f>
        <v>195.22660386551729</v>
      </c>
      <c r="I9" s="168">
        <f t="shared" si="13"/>
        <v>277.83990579827594</v>
      </c>
      <c r="J9" s="168">
        <f t="shared" si="13"/>
        <v>360.45320773103458</v>
      </c>
      <c r="K9" s="168">
        <f t="shared" si="13"/>
        <v>443.06650966379323</v>
      </c>
      <c r="L9" s="168">
        <f t="shared" si="13"/>
        <v>525.67981159655187</v>
      </c>
      <c r="M9" s="168">
        <f t="shared" si="13"/>
        <v>608.29311352931052</v>
      </c>
      <c r="N9" s="168">
        <f t="shared" si="13"/>
        <v>690.90641546206916</v>
      </c>
      <c r="O9" s="168">
        <f t="shared" si="13"/>
        <v>773.51971739482781</v>
      </c>
      <c r="P9" s="168">
        <f t="shared" si="3"/>
        <v>856.13301932758645</v>
      </c>
      <c r="Q9" s="168">
        <f t="shared" ref="Q9:S9" si="14">P9+100</f>
        <v>956.13301932758645</v>
      </c>
      <c r="R9" s="168">
        <f t="shared" si="14"/>
        <v>1056.1330193275865</v>
      </c>
      <c r="S9" s="168">
        <f t="shared" si="14"/>
        <v>1156.1330193275865</v>
      </c>
      <c r="T9">
        <v>6</v>
      </c>
    </row>
    <row r="10" spans="1:20" x14ac:dyDescent="0.3">
      <c r="A10" t="s">
        <v>334</v>
      </c>
      <c r="B10">
        <v>10</v>
      </c>
      <c r="C10">
        <v>10</v>
      </c>
      <c r="D10">
        <v>0</v>
      </c>
      <c r="E10">
        <v>14.32</v>
      </c>
      <c r="F10" s="168">
        <v>30</v>
      </c>
      <c r="G10" s="168">
        <f>F10+(($P$10-$F$10)/10)</f>
        <v>103.67828248134217</v>
      </c>
      <c r="H10" s="168">
        <f t="shared" ref="H10:O10" si="15">G10+(($P$10-$F$10)/10)</f>
        <v>177.35656496268433</v>
      </c>
      <c r="I10" s="168">
        <f t="shared" si="15"/>
        <v>251.0348474440265</v>
      </c>
      <c r="J10" s="168">
        <f t="shared" si="15"/>
        <v>324.71312992536866</v>
      </c>
      <c r="K10" s="168">
        <f t="shared" si="15"/>
        <v>398.39141240671086</v>
      </c>
      <c r="L10" s="168">
        <f t="shared" si="15"/>
        <v>472.06969488805305</v>
      </c>
      <c r="M10" s="168">
        <f t="shared" si="15"/>
        <v>545.74797736939524</v>
      </c>
      <c r="N10" s="168">
        <f t="shared" si="15"/>
        <v>619.42625985073744</v>
      </c>
      <c r="O10" s="168">
        <f t="shared" si="15"/>
        <v>693.10454233207963</v>
      </c>
      <c r="P10" s="168">
        <f t="shared" si="3"/>
        <v>766.7828248134216</v>
      </c>
      <c r="Q10" s="168">
        <f t="shared" ref="Q10:S10" si="16">P10+100</f>
        <v>866.7828248134216</v>
      </c>
      <c r="R10" s="168">
        <f t="shared" si="16"/>
        <v>966.7828248134216</v>
      </c>
      <c r="S10" s="168">
        <f t="shared" si="16"/>
        <v>1066.7828248134215</v>
      </c>
      <c r="T10">
        <v>7</v>
      </c>
    </row>
    <row r="11" spans="1:20" x14ac:dyDescent="0.3">
      <c r="A11" t="s">
        <v>335</v>
      </c>
      <c r="B11">
        <v>8</v>
      </c>
      <c r="C11">
        <v>10</v>
      </c>
      <c r="D11">
        <v>0</v>
      </c>
      <c r="E11">
        <v>10.18</v>
      </c>
      <c r="F11" s="168">
        <v>30</v>
      </c>
      <c r="G11" s="168">
        <f>F11+(($P$11-$F$11)/10)</f>
        <v>103.93337083147648</v>
      </c>
      <c r="H11" s="168">
        <f t="shared" ref="H11:O11" si="17">G11+(($P$11-$F$11)/10)</f>
        <v>177.86674166295296</v>
      </c>
      <c r="I11" s="168">
        <f t="shared" si="17"/>
        <v>251.80011249442944</v>
      </c>
      <c r="J11" s="168">
        <f t="shared" si="17"/>
        <v>325.73348332590592</v>
      </c>
      <c r="K11" s="168">
        <f t="shared" si="17"/>
        <v>399.66685415738243</v>
      </c>
      <c r="L11" s="168">
        <f t="shared" si="17"/>
        <v>473.60022498885894</v>
      </c>
      <c r="M11" s="168">
        <f t="shared" si="17"/>
        <v>547.53359582033545</v>
      </c>
      <c r="N11" s="168">
        <f t="shared" si="17"/>
        <v>621.46696665181196</v>
      </c>
      <c r="O11" s="168">
        <f t="shared" si="17"/>
        <v>695.40033748328847</v>
      </c>
      <c r="P11" s="168">
        <f t="shared" si="3"/>
        <v>769.33370831476486</v>
      </c>
      <c r="Q11" s="168">
        <f t="shared" ref="Q11:S11" si="18">P11+100</f>
        <v>869.33370831476486</v>
      </c>
      <c r="R11" s="168">
        <f t="shared" si="18"/>
        <v>969.33370831476486</v>
      </c>
      <c r="S11" s="168">
        <f t="shared" si="18"/>
        <v>1069.3337083147649</v>
      </c>
      <c r="T11">
        <v>8</v>
      </c>
    </row>
    <row r="12" spans="1:20" x14ac:dyDescent="0.3">
      <c r="A12" t="s">
        <v>336</v>
      </c>
      <c r="B12">
        <v>10</v>
      </c>
      <c r="C12">
        <v>10</v>
      </c>
      <c r="D12">
        <v>0</v>
      </c>
      <c r="E12">
        <f>2+9.02</f>
        <v>11.02</v>
      </c>
      <c r="F12" s="168">
        <v>30</v>
      </c>
      <c r="G12" s="168">
        <f>F12+(($P$12-$F$12)/10)</f>
        <v>109.51266555285746</v>
      </c>
      <c r="H12" s="168">
        <f t="shared" ref="H12:O12" si="19">G12+(($P$12-$F$12)/10)</f>
        <v>189.02533110571491</v>
      </c>
      <c r="I12" s="168">
        <f t="shared" si="19"/>
        <v>268.53799665857235</v>
      </c>
      <c r="J12" s="168">
        <f t="shared" si="19"/>
        <v>348.05066221142982</v>
      </c>
      <c r="K12" s="168">
        <f t="shared" si="19"/>
        <v>427.56332776428729</v>
      </c>
      <c r="L12" s="168">
        <f t="shared" si="19"/>
        <v>507.07599331714476</v>
      </c>
      <c r="M12" s="168">
        <f t="shared" si="19"/>
        <v>586.58865887000218</v>
      </c>
      <c r="N12" s="168">
        <f t="shared" si="19"/>
        <v>666.10132442285965</v>
      </c>
      <c r="O12" s="168">
        <f t="shared" si="19"/>
        <v>745.61398997571712</v>
      </c>
      <c r="P12" s="168">
        <f t="shared" si="3"/>
        <v>825.12665552857459</v>
      </c>
      <c r="Q12" s="168">
        <f t="shared" ref="Q12:S12" si="20">P12+100</f>
        <v>925.12665552857459</v>
      </c>
      <c r="R12" s="168">
        <f t="shared" si="20"/>
        <v>1025.1266555285747</v>
      </c>
      <c r="S12" s="168">
        <f t="shared" si="20"/>
        <v>1125.1266555285747</v>
      </c>
      <c r="T12">
        <v>9</v>
      </c>
    </row>
    <row r="13" spans="1:20" x14ac:dyDescent="0.3">
      <c r="A13" s="159" t="s">
        <v>337</v>
      </c>
      <c r="B13">
        <v>10</v>
      </c>
      <c r="C13">
        <v>8</v>
      </c>
      <c r="D13">
        <v>0</v>
      </c>
      <c r="E13">
        <v>9.34</v>
      </c>
      <c r="F13" s="168">
        <v>30</v>
      </c>
      <c r="G13" s="168">
        <f>F13+(($P$13-$F$13)/10)</f>
        <v>105.38294672919803</v>
      </c>
      <c r="H13" s="168">
        <f t="shared" ref="H13:O13" si="21">G13+(($P$13-$F$13)/10)</f>
        <v>180.76589345839605</v>
      </c>
      <c r="I13" s="168">
        <f t="shared" si="21"/>
        <v>256.14884018759409</v>
      </c>
      <c r="J13" s="168">
        <f t="shared" si="21"/>
        <v>331.5317869167921</v>
      </c>
      <c r="K13" s="168">
        <f t="shared" si="21"/>
        <v>406.91473364599011</v>
      </c>
      <c r="L13" s="168">
        <f t="shared" si="21"/>
        <v>482.29768037518812</v>
      </c>
      <c r="M13" s="168">
        <f t="shared" si="21"/>
        <v>557.68062710438619</v>
      </c>
      <c r="N13" s="168">
        <f t="shared" si="21"/>
        <v>633.0635738335842</v>
      </c>
      <c r="O13" s="168">
        <f t="shared" si="21"/>
        <v>708.44652056278221</v>
      </c>
      <c r="P13" s="168">
        <f t="shared" si="3"/>
        <v>783.82946729198022</v>
      </c>
      <c r="Q13" s="168">
        <f t="shared" ref="Q13:S13" si="22">P13+100</f>
        <v>883.82946729198022</v>
      </c>
      <c r="R13" s="168">
        <f t="shared" si="22"/>
        <v>983.82946729198022</v>
      </c>
      <c r="S13" s="168">
        <f t="shared" si="22"/>
        <v>1083.8294672919801</v>
      </c>
      <c r="T13">
        <v>10</v>
      </c>
    </row>
    <row r="14" spans="1:20" x14ac:dyDescent="0.3">
      <c r="A14" t="s">
        <v>338</v>
      </c>
      <c r="B14">
        <v>10</v>
      </c>
      <c r="C14">
        <v>10</v>
      </c>
      <c r="D14">
        <v>0</v>
      </c>
      <c r="E14">
        <v>9.24</v>
      </c>
      <c r="F14" s="168">
        <v>30</v>
      </c>
      <c r="G14" s="168">
        <f>F14+(($P$14-$F$14)/10)</f>
        <v>112.84190859088002</v>
      </c>
      <c r="H14" s="168">
        <f t="shared" ref="H14:O14" si="23">G14+(($P$14-$F$14)/10)</f>
        <v>195.68381718176005</v>
      </c>
      <c r="I14" s="168">
        <f t="shared" si="23"/>
        <v>278.52572577264004</v>
      </c>
      <c r="J14" s="168">
        <f t="shared" si="23"/>
        <v>361.3676343635201</v>
      </c>
      <c r="K14" s="168">
        <f t="shared" si="23"/>
        <v>444.20954295440015</v>
      </c>
      <c r="L14" s="168">
        <f t="shared" si="23"/>
        <v>527.0514515452802</v>
      </c>
      <c r="M14" s="168">
        <f t="shared" si="23"/>
        <v>609.89336013616025</v>
      </c>
      <c r="N14" s="168">
        <f t="shared" si="23"/>
        <v>692.73526872704031</v>
      </c>
      <c r="O14" s="168">
        <f t="shared" si="23"/>
        <v>775.57717731792036</v>
      </c>
      <c r="P14" s="168">
        <f t="shared" si="3"/>
        <v>858.41908590880018</v>
      </c>
      <c r="Q14" s="168">
        <f t="shared" ref="Q14:S14" si="24">P14+100</f>
        <v>958.41908590880018</v>
      </c>
      <c r="R14" s="168">
        <f t="shared" si="24"/>
        <v>1058.4190859088003</v>
      </c>
      <c r="S14" s="168">
        <f t="shared" si="24"/>
        <v>1158.4190859088003</v>
      </c>
      <c r="T14">
        <v>11</v>
      </c>
    </row>
    <row r="15" spans="1:20" x14ac:dyDescent="0.3">
      <c r="A15" t="s">
        <v>339</v>
      </c>
      <c r="B15">
        <v>10</v>
      </c>
      <c r="C15">
        <v>10</v>
      </c>
      <c r="D15">
        <v>0</v>
      </c>
      <c r="E15">
        <v>23.86</v>
      </c>
      <c r="F15" s="168">
        <v>30</v>
      </c>
      <c r="G15" s="168">
        <f>F15+(($P$15-$F$15)/10)</f>
        <v>89.030032443066986</v>
      </c>
      <c r="H15" s="168">
        <f t="shared" ref="H15:O15" si="25">G15+(($P$15-$F$15)/10)</f>
        <v>148.06006488613397</v>
      </c>
      <c r="I15" s="168">
        <f t="shared" si="25"/>
        <v>207.09009732920094</v>
      </c>
      <c r="J15" s="168">
        <f t="shared" si="25"/>
        <v>266.12012977226794</v>
      </c>
      <c r="K15" s="168">
        <f t="shared" si="25"/>
        <v>325.15016221533494</v>
      </c>
      <c r="L15" s="168">
        <f t="shared" si="25"/>
        <v>384.18019465840194</v>
      </c>
      <c r="M15" s="168">
        <f t="shared" si="25"/>
        <v>443.21022710146894</v>
      </c>
      <c r="N15" s="168">
        <f t="shared" si="25"/>
        <v>502.24025954453595</v>
      </c>
      <c r="O15" s="168">
        <f t="shared" si="25"/>
        <v>561.27029198760295</v>
      </c>
      <c r="P15" s="168">
        <f t="shared" si="3"/>
        <v>620.30032443066989</v>
      </c>
      <c r="Q15" s="168">
        <f t="shared" ref="Q15:S15" si="26">P15+100</f>
        <v>720.30032443066989</v>
      </c>
      <c r="R15" s="168">
        <f t="shared" si="26"/>
        <v>820.30032443066989</v>
      </c>
      <c r="S15" s="168">
        <f t="shared" si="26"/>
        <v>920.30032443066989</v>
      </c>
      <c r="T15">
        <v>12</v>
      </c>
    </row>
    <row r="16" spans="1:20" x14ac:dyDescent="0.3">
      <c r="A16" t="s">
        <v>340</v>
      </c>
      <c r="B16">
        <v>10</v>
      </c>
      <c r="C16">
        <v>8</v>
      </c>
      <c r="D16">
        <v>0</v>
      </c>
      <c r="E16">
        <v>13.94</v>
      </c>
      <c r="F16" s="168">
        <v>30</v>
      </c>
      <c r="G16" s="168">
        <f>F16+(($P$16-$F$16)/10)</f>
        <v>97.76639449744394</v>
      </c>
      <c r="H16" s="168">
        <f t="shared" ref="H16:O16" si="27">G16+(($P$16-$F$16)/10)</f>
        <v>165.53278899488788</v>
      </c>
      <c r="I16" s="168">
        <f t="shared" si="27"/>
        <v>233.29918349233182</v>
      </c>
      <c r="J16" s="168">
        <f t="shared" si="27"/>
        <v>301.06557798977576</v>
      </c>
      <c r="K16" s="168">
        <f t="shared" si="27"/>
        <v>368.83197248721967</v>
      </c>
      <c r="L16" s="168">
        <f t="shared" si="27"/>
        <v>436.59836698466358</v>
      </c>
      <c r="M16" s="168">
        <f t="shared" si="27"/>
        <v>504.3647614821075</v>
      </c>
      <c r="N16" s="168">
        <f t="shared" si="27"/>
        <v>572.13115597955141</v>
      </c>
      <c r="O16" s="168">
        <f t="shared" si="27"/>
        <v>639.89755047699532</v>
      </c>
      <c r="P16" s="168">
        <f t="shared" si="3"/>
        <v>707.66394497443935</v>
      </c>
      <c r="Q16" s="168">
        <f t="shared" ref="Q16:S16" si="28">P16+100</f>
        <v>807.66394497443935</v>
      </c>
      <c r="R16" s="168">
        <f t="shared" si="28"/>
        <v>907.66394497443935</v>
      </c>
      <c r="S16" s="168">
        <f t="shared" si="28"/>
        <v>1007.6639449744393</v>
      </c>
      <c r="T16">
        <v>13</v>
      </c>
    </row>
    <row r="17" spans="1:20" x14ac:dyDescent="0.3">
      <c r="A17" t="s">
        <v>341</v>
      </c>
      <c r="B17">
        <v>10</v>
      </c>
      <c r="C17">
        <v>10</v>
      </c>
      <c r="D17">
        <v>0</v>
      </c>
      <c r="E17">
        <v>14.16</v>
      </c>
      <c r="F17" s="168">
        <v>30</v>
      </c>
      <c r="G17" s="168">
        <f>F17+(($P$17-$F$17)/10)</f>
        <v>103.95140144799441</v>
      </c>
      <c r="H17" s="168">
        <f t="shared" ref="H17:O17" si="29">G17+(($P$17-$F$17)/10)</f>
        <v>177.90280289598883</v>
      </c>
      <c r="I17" s="168">
        <f t="shared" si="29"/>
        <v>251.85420434398324</v>
      </c>
      <c r="J17" s="168">
        <f t="shared" si="29"/>
        <v>325.80560579197765</v>
      </c>
      <c r="K17" s="168">
        <f t="shared" si="29"/>
        <v>399.75700723997204</v>
      </c>
      <c r="L17" s="168">
        <f t="shared" si="29"/>
        <v>473.70840868796643</v>
      </c>
      <c r="M17" s="168">
        <f t="shared" si="29"/>
        <v>547.65981013596081</v>
      </c>
      <c r="N17" s="168">
        <f t="shared" si="29"/>
        <v>621.6112115839552</v>
      </c>
      <c r="O17" s="168">
        <f t="shared" si="29"/>
        <v>695.56261303194958</v>
      </c>
      <c r="P17" s="168">
        <f t="shared" si="3"/>
        <v>769.51401447994408</v>
      </c>
      <c r="Q17" s="168">
        <f t="shared" ref="Q17:S17" si="30">P17+100</f>
        <v>869.51401447994408</v>
      </c>
      <c r="R17" s="168">
        <f t="shared" si="30"/>
        <v>969.51401447994408</v>
      </c>
      <c r="S17" s="168">
        <f t="shared" si="30"/>
        <v>1069.5140144799441</v>
      </c>
      <c r="T17">
        <v>14</v>
      </c>
    </row>
    <row r="18" spans="1:20" x14ac:dyDescent="0.3">
      <c r="A18" s="163" t="s">
        <v>342</v>
      </c>
      <c r="B18">
        <v>8</v>
      </c>
      <c r="C18">
        <v>10</v>
      </c>
      <c r="D18">
        <v>0</v>
      </c>
      <c r="E18">
        <v>15.5</v>
      </c>
      <c r="F18" s="168">
        <v>30</v>
      </c>
      <c r="G18" s="168">
        <f>F18+(($P$18-$F$18)/10)</f>
        <v>95.355196677639839</v>
      </c>
      <c r="H18" s="168">
        <f t="shared" ref="H18:O18" si="31">G18+(($P$18-$F$18)/10)</f>
        <v>160.71039335527968</v>
      </c>
      <c r="I18" s="168">
        <f t="shared" si="31"/>
        <v>226.06559003291952</v>
      </c>
      <c r="J18" s="168">
        <f t="shared" si="31"/>
        <v>291.42078671055936</v>
      </c>
      <c r="K18" s="168">
        <f t="shared" si="31"/>
        <v>356.77598338819917</v>
      </c>
      <c r="L18" s="168">
        <f t="shared" si="31"/>
        <v>422.13118006583898</v>
      </c>
      <c r="M18" s="168">
        <f t="shared" si="31"/>
        <v>487.48637674347879</v>
      </c>
      <c r="N18" s="168">
        <f t="shared" si="31"/>
        <v>552.8415734211186</v>
      </c>
      <c r="O18" s="168">
        <f t="shared" si="31"/>
        <v>618.19677009875841</v>
      </c>
      <c r="P18" s="168">
        <f t="shared" si="3"/>
        <v>683.55196677639833</v>
      </c>
      <c r="Q18" s="168">
        <f t="shared" ref="Q18:S18" si="32">P18+100</f>
        <v>783.55196677639833</v>
      </c>
      <c r="R18" s="168">
        <f t="shared" si="32"/>
        <v>883.55196677639833</v>
      </c>
      <c r="S18" s="168">
        <f t="shared" si="32"/>
        <v>983.55196677639833</v>
      </c>
      <c r="T18">
        <v>15</v>
      </c>
    </row>
    <row r="19" spans="1:20" x14ac:dyDescent="0.3">
      <c r="A19" t="s">
        <v>343</v>
      </c>
      <c r="B19">
        <v>10</v>
      </c>
      <c r="C19">
        <v>7</v>
      </c>
      <c r="D19">
        <v>0</v>
      </c>
      <c r="E19">
        <v>10.1</v>
      </c>
      <c r="F19" s="168">
        <v>30</v>
      </c>
      <c r="G19" s="168">
        <f>F19+(($P$19-$F$19)/10)</f>
        <v>99.868215757306245</v>
      </c>
      <c r="H19" s="168">
        <f t="shared" ref="H19:O19" si="33">G19+(($P$19-$F$19)/10)</f>
        <v>169.73643151461249</v>
      </c>
      <c r="I19" s="168">
        <f t="shared" si="33"/>
        <v>239.60464727191874</v>
      </c>
      <c r="J19" s="168">
        <f t="shared" si="33"/>
        <v>309.47286302922498</v>
      </c>
      <c r="K19" s="168">
        <f t="shared" si="33"/>
        <v>379.34107878653123</v>
      </c>
      <c r="L19" s="168">
        <f t="shared" si="33"/>
        <v>449.20929454383747</v>
      </c>
      <c r="M19" s="168">
        <f t="shared" si="33"/>
        <v>519.07751030114377</v>
      </c>
      <c r="N19" s="168">
        <f t="shared" si="33"/>
        <v>588.94572605844996</v>
      </c>
      <c r="O19" s="168">
        <f t="shared" si="33"/>
        <v>658.81394181575615</v>
      </c>
      <c r="P19" s="168">
        <f t="shared" si="3"/>
        <v>728.68215757306245</v>
      </c>
      <c r="Q19" s="168">
        <f t="shared" ref="Q19:S19" si="34">P19+100</f>
        <v>828.68215757306245</v>
      </c>
      <c r="R19" s="168">
        <f t="shared" si="34"/>
        <v>928.68215757306245</v>
      </c>
      <c r="S19" s="168">
        <f t="shared" si="34"/>
        <v>1028.6821575730623</v>
      </c>
      <c r="T19">
        <v>16</v>
      </c>
    </row>
    <row r="20" spans="1:20" x14ac:dyDescent="0.3">
      <c r="A20" t="s">
        <v>344</v>
      </c>
      <c r="B20">
        <v>10</v>
      </c>
      <c r="C20">
        <v>8</v>
      </c>
      <c r="D20">
        <v>0</v>
      </c>
      <c r="E20">
        <v>16.86</v>
      </c>
      <c r="F20" s="168">
        <v>30</v>
      </c>
      <c r="G20" s="168">
        <f>F20+(($P$20-$F$20)/10)</f>
        <v>93.320257186584655</v>
      </c>
      <c r="H20" s="168">
        <f t="shared" ref="H20:O20" si="35">G20+(($P$20-$F$20)/10)</f>
        <v>156.64051437316931</v>
      </c>
      <c r="I20" s="168">
        <f t="shared" si="35"/>
        <v>219.96077155975397</v>
      </c>
      <c r="J20" s="168">
        <f t="shared" si="35"/>
        <v>283.28102874633862</v>
      </c>
      <c r="K20" s="168">
        <f t="shared" si="35"/>
        <v>346.60128593292325</v>
      </c>
      <c r="L20" s="168">
        <f t="shared" si="35"/>
        <v>409.92154311950787</v>
      </c>
      <c r="M20" s="168">
        <f t="shared" si="35"/>
        <v>473.2418003060925</v>
      </c>
      <c r="N20" s="168">
        <f t="shared" si="35"/>
        <v>536.56205749267713</v>
      </c>
      <c r="O20" s="168">
        <f t="shared" si="35"/>
        <v>599.88231467926175</v>
      </c>
      <c r="P20" s="168">
        <f t="shared" si="3"/>
        <v>663.20257186584649</v>
      </c>
      <c r="Q20" s="168">
        <f t="shared" ref="Q20:S20" si="36">P20+100</f>
        <v>763.20257186584649</v>
      </c>
      <c r="R20" s="168">
        <f t="shared" si="36"/>
        <v>863.20257186584649</v>
      </c>
      <c r="S20" s="168">
        <f t="shared" si="36"/>
        <v>963.20257186584649</v>
      </c>
      <c r="T20">
        <v>17</v>
      </c>
    </row>
    <row r="21" spans="1:20" x14ac:dyDescent="0.3">
      <c r="A21" t="s">
        <v>345</v>
      </c>
      <c r="B21">
        <v>8</v>
      </c>
      <c r="C21">
        <v>7</v>
      </c>
      <c r="D21">
        <v>0</v>
      </c>
      <c r="E21">
        <v>11</v>
      </c>
      <c r="F21" s="168">
        <v>30</v>
      </c>
      <c r="G21" s="168">
        <f>F21+(($P$21-$F$21)/10)</f>
        <v>92.364142965421195</v>
      </c>
      <c r="H21" s="168">
        <f t="shared" ref="H21:O21" si="37">G21+(($P$21-$F$21)/10)</f>
        <v>154.72828593084239</v>
      </c>
      <c r="I21" s="168">
        <f t="shared" si="37"/>
        <v>217.09242889626358</v>
      </c>
      <c r="J21" s="168">
        <f t="shared" si="37"/>
        <v>279.45657186168478</v>
      </c>
      <c r="K21" s="168">
        <f t="shared" si="37"/>
        <v>341.82071482710597</v>
      </c>
      <c r="L21" s="168">
        <f t="shared" si="37"/>
        <v>404.18485779252717</v>
      </c>
      <c r="M21" s="168">
        <f t="shared" si="37"/>
        <v>466.54900075794836</v>
      </c>
      <c r="N21" s="168">
        <f t="shared" si="37"/>
        <v>528.91314372336956</v>
      </c>
      <c r="O21" s="168">
        <f t="shared" si="37"/>
        <v>591.27728668879081</v>
      </c>
      <c r="P21" s="168">
        <f t="shared" si="3"/>
        <v>653.64142965421195</v>
      </c>
      <c r="Q21" s="168">
        <f t="shared" ref="Q21:S21" si="38">P21+100</f>
        <v>753.64142965421195</v>
      </c>
      <c r="R21" s="168">
        <f t="shared" si="38"/>
        <v>853.64142965421195</v>
      </c>
      <c r="S21" s="168">
        <f t="shared" si="38"/>
        <v>953.64142965421195</v>
      </c>
      <c r="T21">
        <v>18</v>
      </c>
    </row>
    <row r="22" spans="1:20" x14ac:dyDescent="0.3">
      <c r="A22" t="s">
        <v>346</v>
      </c>
      <c r="B22">
        <v>8</v>
      </c>
      <c r="C22">
        <v>7</v>
      </c>
      <c r="D22">
        <v>0</v>
      </c>
      <c r="E22">
        <v>30.2</v>
      </c>
      <c r="F22" s="168">
        <v>30</v>
      </c>
      <c r="G22" s="168">
        <f>F22+(($P$22-$F$22)/10)</f>
        <v>69.661951428015342</v>
      </c>
      <c r="H22" s="168">
        <f t="shared" ref="H22:O22" si="39">G22+(($P$22-$F$22)/10)</f>
        <v>109.32390285603068</v>
      </c>
      <c r="I22" s="168">
        <f t="shared" si="39"/>
        <v>148.98585428404601</v>
      </c>
      <c r="J22" s="168">
        <f t="shared" si="39"/>
        <v>188.64780571206137</v>
      </c>
      <c r="K22" s="168">
        <f t="shared" si="39"/>
        <v>228.30975714007673</v>
      </c>
      <c r="L22" s="168">
        <f t="shared" si="39"/>
        <v>267.97170856809208</v>
      </c>
      <c r="M22" s="168">
        <f t="shared" si="39"/>
        <v>307.63365999610744</v>
      </c>
      <c r="N22" s="168">
        <f t="shared" si="39"/>
        <v>347.2956114241228</v>
      </c>
      <c r="O22" s="168">
        <f t="shared" si="39"/>
        <v>386.95756285213815</v>
      </c>
      <c r="P22" s="168">
        <f t="shared" si="3"/>
        <v>426.61951428015345</v>
      </c>
      <c r="Q22" s="168">
        <f t="shared" ref="Q22:S22" si="40">P22+100</f>
        <v>526.61951428015345</v>
      </c>
      <c r="R22" s="168">
        <f t="shared" si="40"/>
        <v>626.61951428015345</v>
      </c>
      <c r="S22" s="168">
        <f t="shared" si="40"/>
        <v>726.61951428015345</v>
      </c>
      <c r="T22">
        <v>19</v>
      </c>
    </row>
    <row r="23" spans="1:20" x14ac:dyDescent="0.3">
      <c r="A23" s="164" t="s">
        <v>347</v>
      </c>
      <c r="B23">
        <v>10</v>
      </c>
      <c r="C23">
        <v>10</v>
      </c>
      <c r="D23">
        <v>0</v>
      </c>
      <c r="E23">
        <v>10.5</v>
      </c>
      <c r="F23" s="168">
        <v>30</v>
      </c>
      <c r="G23" s="168">
        <f>F23+(($P$23-$F$23)/10)</f>
        <v>110.47167486991631</v>
      </c>
      <c r="H23" s="168">
        <f t="shared" ref="H23:O23" si="41">G23+(($P$23-$F$23)/10)</f>
        <v>190.94334973983263</v>
      </c>
      <c r="I23" s="168">
        <f t="shared" si="41"/>
        <v>271.41502460974891</v>
      </c>
      <c r="J23" s="168">
        <f t="shared" si="41"/>
        <v>351.88669947966525</v>
      </c>
      <c r="K23" s="168">
        <f t="shared" si="41"/>
        <v>432.3583743495816</v>
      </c>
      <c r="L23" s="168">
        <f t="shared" si="41"/>
        <v>512.83004921949794</v>
      </c>
      <c r="M23" s="168">
        <f t="shared" si="41"/>
        <v>593.30172408941428</v>
      </c>
      <c r="N23" s="168">
        <f t="shared" si="41"/>
        <v>673.77339895933062</v>
      </c>
      <c r="O23" s="168">
        <f t="shared" si="41"/>
        <v>754.24507382924696</v>
      </c>
      <c r="P23" s="168">
        <f t="shared" si="3"/>
        <v>834.71674869916308</v>
      </c>
      <c r="Q23" s="168">
        <f t="shared" ref="Q23:S23" si="42">P23+100</f>
        <v>934.71674869916308</v>
      </c>
      <c r="R23" s="168">
        <f t="shared" si="42"/>
        <v>1034.716748699163</v>
      </c>
      <c r="S23" s="168">
        <f t="shared" si="42"/>
        <v>1134.716748699163</v>
      </c>
      <c r="T23">
        <v>20</v>
      </c>
    </row>
    <row r="24" spans="1:20" x14ac:dyDescent="0.3">
      <c r="A24" t="s">
        <v>348</v>
      </c>
      <c r="B24">
        <v>7</v>
      </c>
      <c r="C24">
        <v>10</v>
      </c>
      <c r="D24">
        <v>0</v>
      </c>
      <c r="E24">
        <v>10.24</v>
      </c>
      <c r="F24" s="168">
        <v>30</v>
      </c>
      <c r="G24" s="168">
        <f>F24+(($P$24-$F$24)/10)</f>
        <v>99.641867074391357</v>
      </c>
      <c r="H24" s="168">
        <f t="shared" ref="H24:O24" si="43">G24+(($P$24-$F$24)/10)</f>
        <v>169.28373414878271</v>
      </c>
      <c r="I24" s="168">
        <f t="shared" si="43"/>
        <v>238.92560122317406</v>
      </c>
      <c r="J24" s="168">
        <f t="shared" si="43"/>
        <v>308.56746829756543</v>
      </c>
      <c r="K24" s="168">
        <f t="shared" si="43"/>
        <v>378.2093353719568</v>
      </c>
      <c r="L24" s="168">
        <f t="shared" si="43"/>
        <v>447.85120244634817</v>
      </c>
      <c r="M24" s="168">
        <f t="shared" si="43"/>
        <v>517.49306952073948</v>
      </c>
      <c r="N24" s="168">
        <f t="shared" si="43"/>
        <v>587.13493659513085</v>
      </c>
      <c r="O24" s="168">
        <f t="shared" si="43"/>
        <v>656.77680366952222</v>
      </c>
      <c r="P24" s="168">
        <f t="shared" si="3"/>
        <v>726.41867074391359</v>
      </c>
      <c r="Q24" s="168">
        <f t="shared" ref="Q24:S24" si="44">P24+100</f>
        <v>826.41867074391359</v>
      </c>
      <c r="R24" s="168">
        <f t="shared" si="44"/>
        <v>926.41867074391359</v>
      </c>
      <c r="S24" s="168">
        <f t="shared" si="44"/>
        <v>1026.4186707439135</v>
      </c>
      <c r="T24">
        <v>21</v>
      </c>
    </row>
    <row r="25" spans="1:20" x14ac:dyDescent="0.3">
      <c r="A25" t="s">
        <v>349</v>
      </c>
      <c r="B25">
        <v>10</v>
      </c>
      <c r="C25">
        <v>10</v>
      </c>
      <c r="D25">
        <v>0</v>
      </c>
      <c r="E25">
        <v>19.579999999999998</v>
      </c>
      <c r="F25" s="168">
        <v>30</v>
      </c>
      <c r="G25" s="168">
        <f>F25+(($P$25-$F$25)/10)</f>
        <v>95.219449613558183</v>
      </c>
      <c r="H25" s="168">
        <f t="shared" ref="H25:O25" si="45">G25+(($P$25-$F$25)/10)</f>
        <v>160.43889922711637</v>
      </c>
      <c r="I25" s="168">
        <f t="shared" si="45"/>
        <v>225.65834884067453</v>
      </c>
      <c r="J25" s="168">
        <f t="shared" si="45"/>
        <v>290.87779845423273</v>
      </c>
      <c r="K25" s="168">
        <f t="shared" si="45"/>
        <v>356.09724806779093</v>
      </c>
      <c r="L25" s="168">
        <f t="shared" si="45"/>
        <v>421.31669768134913</v>
      </c>
      <c r="M25" s="168">
        <f t="shared" si="45"/>
        <v>486.53614729490732</v>
      </c>
      <c r="N25" s="168">
        <f t="shared" si="45"/>
        <v>551.75559690846546</v>
      </c>
      <c r="O25" s="168">
        <f t="shared" si="45"/>
        <v>616.9750465220236</v>
      </c>
      <c r="P25" s="168">
        <f t="shared" si="3"/>
        <v>682.19449613558186</v>
      </c>
      <c r="Q25" s="168">
        <f t="shared" ref="Q25:S25" si="46">P25+100</f>
        <v>782.19449613558186</v>
      </c>
      <c r="R25" s="168">
        <f t="shared" si="46"/>
        <v>882.19449613558186</v>
      </c>
      <c r="S25" s="168">
        <f t="shared" si="46"/>
        <v>982.19449613558186</v>
      </c>
      <c r="T25">
        <v>22</v>
      </c>
    </row>
    <row r="26" spans="1:20" x14ac:dyDescent="0.3">
      <c r="A26" t="s">
        <v>350</v>
      </c>
      <c r="B26">
        <v>7</v>
      </c>
      <c r="C26">
        <v>8</v>
      </c>
      <c r="D26">
        <v>0</v>
      </c>
      <c r="E26">
        <v>12.04</v>
      </c>
      <c r="F26" s="168">
        <v>30</v>
      </c>
      <c r="G26" s="168">
        <f>F26+(($P$26-$F$26)/10)</f>
        <v>90.870828544123356</v>
      </c>
      <c r="H26" s="168">
        <f t="shared" ref="H26:O26" si="47">G26+(($P$26-$F$26)/10)</f>
        <v>151.74165708824671</v>
      </c>
      <c r="I26" s="168">
        <f t="shared" si="47"/>
        <v>212.61248563237007</v>
      </c>
      <c r="J26" s="168">
        <f t="shared" si="47"/>
        <v>273.48331417649342</v>
      </c>
      <c r="K26" s="168">
        <f t="shared" si="47"/>
        <v>334.35414272061678</v>
      </c>
      <c r="L26" s="168">
        <f t="shared" si="47"/>
        <v>395.22497126474013</v>
      </c>
      <c r="M26" s="168">
        <f t="shared" si="47"/>
        <v>456.09579980886349</v>
      </c>
      <c r="N26" s="168">
        <f t="shared" si="47"/>
        <v>516.96662835298685</v>
      </c>
      <c r="O26" s="168">
        <f t="shared" si="47"/>
        <v>577.8374568971102</v>
      </c>
      <c r="P26" s="168">
        <f t="shared" si="3"/>
        <v>638.70828544123356</v>
      </c>
      <c r="Q26" s="168">
        <f t="shared" ref="Q26:S26" si="48">P26+100</f>
        <v>738.70828544123356</v>
      </c>
      <c r="R26" s="168">
        <f t="shared" si="48"/>
        <v>838.70828544123356</v>
      </c>
      <c r="S26" s="168">
        <f t="shared" si="48"/>
        <v>938.70828544123356</v>
      </c>
      <c r="T26">
        <v>23</v>
      </c>
    </row>
    <row r="27" spans="1:20" x14ac:dyDescent="0.3">
      <c r="A27" t="s">
        <v>351</v>
      </c>
      <c r="B27">
        <v>9</v>
      </c>
      <c r="C27">
        <v>9</v>
      </c>
      <c r="D27">
        <v>0</v>
      </c>
      <c r="E27">
        <f>2+10.66</f>
        <v>12.66</v>
      </c>
      <c r="F27" s="168">
        <v>30</v>
      </c>
      <c r="G27" s="168">
        <f>F27+(($P$27-$F$27)/10)</f>
        <v>100.278878432855</v>
      </c>
      <c r="H27" s="168">
        <f t="shared" ref="H27:O27" si="49">G27+(($P$27-$F$27)/10)</f>
        <v>170.55775686570999</v>
      </c>
      <c r="I27" s="168">
        <f t="shared" si="49"/>
        <v>240.836635298565</v>
      </c>
      <c r="J27" s="168">
        <f t="shared" si="49"/>
        <v>311.11551373141998</v>
      </c>
      <c r="K27" s="168">
        <f t="shared" si="49"/>
        <v>381.39439216427496</v>
      </c>
      <c r="L27" s="168">
        <f t="shared" si="49"/>
        <v>451.67327059712994</v>
      </c>
      <c r="M27" s="168">
        <f t="shared" si="49"/>
        <v>521.95214902998498</v>
      </c>
      <c r="N27" s="168">
        <f t="shared" si="49"/>
        <v>592.23102746283996</v>
      </c>
      <c r="O27" s="168">
        <f t="shared" si="49"/>
        <v>662.50990589569494</v>
      </c>
      <c r="P27" s="168">
        <f t="shared" si="3"/>
        <v>732.78878432854992</v>
      </c>
      <c r="Q27" s="168">
        <f t="shared" ref="Q27:S27" si="50">P27+100</f>
        <v>832.78878432854992</v>
      </c>
      <c r="R27" s="168">
        <f t="shared" si="50"/>
        <v>932.78878432854992</v>
      </c>
      <c r="S27" s="168">
        <f t="shared" si="50"/>
        <v>1032.7887843285498</v>
      </c>
      <c r="T27">
        <v>24</v>
      </c>
    </row>
    <row r="28" spans="1:20" x14ac:dyDescent="0.3">
      <c r="A28" s="165" t="s">
        <v>352</v>
      </c>
      <c r="B28">
        <v>7</v>
      </c>
      <c r="C28">
        <v>8</v>
      </c>
      <c r="D28">
        <v>0</v>
      </c>
      <c r="E28">
        <v>10.84</v>
      </c>
      <c r="F28" s="168">
        <v>30</v>
      </c>
      <c r="G28" s="168">
        <f>F28+(($P$28-$F$28)/10)</f>
        <v>92.596962306245217</v>
      </c>
      <c r="H28" s="168">
        <f t="shared" ref="H28:O28" si="51">G28+(($P$28-$F$28)/10)</f>
        <v>155.19392461249043</v>
      </c>
      <c r="I28" s="168">
        <f t="shared" si="51"/>
        <v>217.79088691873565</v>
      </c>
      <c r="J28" s="168">
        <f t="shared" si="51"/>
        <v>280.38784922498087</v>
      </c>
      <c r="K28" s="168">
        <f t="shared" si="51"/>
        <v>342.98481153122606</v>
      </c>
      <c r="L28" s="168">
        <f t="shared" si="51"/>
        <v>405.58177383747125</v>
      </c>
      <c r="M28" s="168">
        <f t="shared" si="51"/>
        <v>468.17873614371643</v>
      </c>
      <c r="N28" s="168">
        <f t="shared" si="51"/>
        <v>530.77569844996162</v>
      </c>
      <c r="O28" s="168">
        <f t="shared" si="51"/>
        <v>593.37266075620687</v>
      </c>
      <c r="P28" s="168">
        <f t="shared" si="3"/>
        <v>655.96962306245211</v>
      </c>
      <c r="Q28" s="168">
        <f t="shared" ref="Q28:S28" si="52">P28+100</f>
        <v>755.96962306245211</v>
      </c>
      <c r="R28" s="168">
        <f t="shared" si="52"/>
        <v>855.96962306245211</v>
      </c>
      <c r="S28" s="168">
        <f t="shared" si="52"/>
        <v>955.96962306245211</v>
      </c>
      <c r="T28">
        <v>25</v>
      </c>
    </row>
    <row r="29" spans="1:20" x14ac:dyDescent="0.3">
      <c r="A29" t="s">
        <v>353</v>
      </c>
      <c r="B29">
        <v>8</v>
      </c>
      <c r="C29">
        <v>8</v>
      </c>
      <c r="D29">
        <v>0</v>
      </c>
      <c r="E29">
        <v>14.5</v>
      </c>
      <c r="F29" s="168">
        <v>30</v>
      </c>
      <c r="G29" s="168">
        <f>F29+(($P$29-$F$29)/10)</f>
        <v>90.960203766742012</v>
      </c>
      <c r="H29" s="168">
        <f t="shared" ref="H29:O29" si="53">G29+(($P$29-$F$29)/10)</f>
        <v>151.92040753348402</v>
      </c>
      <c r="I29" s="168">
        <f t="shared" si="53"/>
        <v>212.88061130022604</v>
      </c>
      <c r="J29" s="168">
        <f t="shared" si="53"/>
        <v>273.84081506696805</v>
      </c>
      <c r="K29" s="168">
        <f t="shared" si="53"/>
        <v>334.80101883371003</v>
      </c>
      <c r="L29" s="168">
        <f t="shared" si="53"/>
        <v>395.76122260045202</v>
      </c>
      <c r="M29" s="168">
        <f t="shared" si="53"/>
        <v>456.721426367194</v>
      </c>
      <c r="N29" s="168">
        <f t="shared" si="53"/>
        <v>517.68163013393598</v>
      </c>
      <c r="O29" s="168">
        <f t="shared" si="53"/>
        <v>578.64183390067797</v>
      </c>
      <c r="P29" s="168">
        <f t="shared" si="3"/>
        <v>639.60203766742006</v>
      </c>
      <c r="Q29" s="168">
        <f t="shared" ref="Q29:S29" si="54">P29+100</f>
        <v>739.60203766742006</v>
      </c>
      <c r="R29" s="168">
        <f t="shared" si="54"/>
        <v>839.60203766742006</v>
      </c>
      <c r="S29" s="168">
        <f t="shared" si="54"/>
        <v>939.60203766742006</v>
      </c>
      <c r="T29">
        <v>26</v>
      </c>
    </row>
    <row r="30" spans="1:20" x14ac:dyDescent="0.3">
      <c r="A30" t="s">
        <v>354</v>
      </c>
      <c r="B30">
        <v>10</v>
      </c>
      <c r="C30">
        <v>10</v>
      </c>
      <c r="D30">
        <v>0</v>
      </c>
      <c r="E30">
        <v>39.32</v>
      </c>
      <c r="F30" s="168">
        <v>30</v>
      </c>
      <c r="G30" s="168">
        <f>F30+(($P$30-$F$30)/10)</f>
        <v>70.994443310483632</v>
      </c>
      <c r="H30" s="168">
        <f t="shared" ref="H30:O30" si="55">G30+(($P$30-$F$30)/10)</f>
        <v>111.98888662096726</v>
      </c>
      <c r="I30" s="168">
        <f t="shared" si="55"/>
        <v>152.9833299314509</v>
      </c>
      <c r="J30" s="168">
        <f t="shared" si="55"/>
        <v>193.97777324193453</v>
      </c>
      <c r="K30" s="168">
        <f t="shared" si="55"/>
        <v>234.97221655241816</v>
      </c>
      <c r="L30" s="168">
        <f t="shared" si="55"/>
        <v>275.96665986290179</v>
      </c>
      <c r="M30" s="168">
        <f t="shared" si="55"/>
        <v>316.96110317338542</v>
      </c>
      <c r="N30" s="168">
        <f t="shared" si="55"/>
        <v>357.95554648386906</v>
      </c>
      <c r="O30" s="168">
        <f t="shared" si="55"/>
        <v>398.94998979435269</v>
      </c>
      <c r="P30" s="168">
        <f t="shared" si="3"/>
        <v>439.94443310483632</v>
      </c>
      <c r="Q30" s="168">
        <f t="shared" ref="Q30:S30" si="56">P30+100</f>
        <v>539.94443310483632</v>
      </c>
      <c r="R30" s="168">
        <f t="shared" si="56"/>
        <v>639.94443310483632</v>
      </c>
      <c r="S30" s="168">
        <f t="shared" si="56"/>
        <v>739.94443310483632</v>
      </c>
      <c r="T30">
        <v>27</v>
      </c>
    </row>
    <row r="31" spans="1:20" x14ac:dyDescent="0.3">
      <c r="A31" t="s">
        <v>355</v>
      </c>
      <c r="B31">
        <v>6</v>
      </c>
      <c r="C31">
        <v>8</v>
      </c>
      <c r="D31">
        <v>0</v>
      </c>
      <c r="E31">
        <v>14.18</v>
      </c>
      <c r="F31" s="168">
        <v>30</v>
      </c>
      <c r="G31" s="168">
        <f>F31+(($P$31-$F$31)/10)</f>
        <v>83.916388489170274</v>
      </c>
      <c r="H31" s="168">
        <f t="shared" ref="H31:O31" si="57">G31+(($P$31-$F$31)/10)</f>
        <v>137.83277697834055</v>
      </c>
      <c r="I31" s="168">
        <f t="shared" si="57"/>
        <v>191.74916546751081</v>
      </c>
      <c r="J31" s="168">
        <f t="shared" si="57"/>
        <v>245.66555395668109</v>
      </c>
      <c r="K31" s="168">
        <f t="shared" si="57"/>
        <v>299.58194244585138</v>
      </c>
      <c r="L31" s="168">
        <f t="shared" si="57"/>
        <v>353.49833093502167</v>
      </c>
      <c r="M31" s="168">
        <f t="shared" si="57"/>
        <v>407.41471942419196</v>
      </c>
      <c r="N31" s="168">
        <f t="shared" si="57"/>
        <v>461.33110791336225</v>
      </c>
      <c r="O31" s="168">
        <f t="shared" si="57"/>
        <v>515.24749640253253</v>
      </c>
      <c r="P31" s="168">
        <f t="shared" si="3"/>
        <v>569.16388489170276</v>
      </c>
      <c r="Q31" s="168">
        <f t="shared" ref="Q31:S31" si="58">P31+100</f>
        <v>669.16388489170276</v>
      </c>
      <c r="R31" s="168">
        <f t="shared" si="58"/>
        <v>769.16388489170276</v>
      </c>
      <c r="S31" s="168">
        <f t="shared" si="58"/>
        <v>869.16388489170276</v>
      </c>
      <c r="T31">
        <v>28</v>
      </c>
    </row>
    <row r="32" spans="1:20" x14ac:dyDescent="0.3">
      <c r="A32" t="s">
        <v>356</v>
      </c>
      <c r="B32">
        <v>8</v>
      </c>
      <c r="C32">
        <v>8</v>
      </c>
      <c r="D32">
        <v>0</v>
      </c>
      <c r="E32">
        <v>12.32</v>
      </c>
      <c r="F32" s="168">
        <v>30</v>
      </c>
      <c r="G32" s="168">
        <f>F32+(($P$32-$F$32)/10)</f>
        <v>94.134997861123423</v>
      </c>
      <c r="H32" s="168">
        <f t="shared" ref="H32:O32" si="59">G32+(($P$32-$F$32)/10)</f>
        <v>158.26999572224685</v>
      </c>
      <c r="I32" s="168">
        <f t="shared" si="59"/>
        <v>222.40499358337027</v>
      </c>
      <c r="J32" s="168">
        <f t="shared" si="59"/>
        <v>286.53999144449369</v>
      </c>
      <c r="K32" s="168">
        <f t="shared" si="59"/>
        <v>350.67498930561715</v>
      </c>
      <c r="L32" s="168">
        <f t="shared" si="59"/>
        <v>414.8099871667406</v>
      </c>
      <c r="M32" s="168">
        <f t="shared" si="59"/>
        <v>478.94498502786405</v>
      </c>
      <c r="N32" s="168">
        <f t="shared" si="59"/>
        <v>543.0799828889875</v>
      </c>
      <c r="O32" s="168">
        <f t="shared" si="59"/>
        <v>607.21498075011095</v>
      </c>
      <c r="P32" s="168">
        <f t="shared" si="3"/>
        <v>671.34997861123418</v>
      </c>
      <c r="Q32" s="168">
        <f t="shared" ref="Q32:S32" si="60">P32+100</f>
        <v>771.34997861123418</v>
      </c>
      <c r="R32" s="168">
        <f t="shared" si="60"/>
        <v>871.34997861123418</v>
      </c>
      <c r="S32" s="168">
        <f t="shared" si="60"/>
        <v>971.34997861123418</v>
      </c>
      <c r="T32">
        <v>29</v>
      </c>
    </row>
    <row r="33" spans="1:20" x14ac:dyDescent="0.3">
      <c r="A33" s="166" t="s">
        <v>357</v>
      </c>
      <c r="B33">
        <v>8</v>
      </c>
      <c r="C33">
        <v>7</v>
      </c>
      <c r="D33">
        <v>0</v>
      </c>
      <c r="E33">
        <v>12.26</v>
      </c>
      <c r="F33" s="168">
        <v>30</v>
      </c>
      <c r="G33" s="168">
        <f>F33+(($P$33-$F$33)/10)</f>
        <v>90.559333422603146</v>
      </c>
      <c r="H33" s="168">
        <f t="shared" ref="H33:O33" si="61">G33+(($P$33-$F$33)/10)</f>
        <v>151.11866684520629</v>
      </c>
      <c r="I33" s="168">
        <f t="shared" si="61"/>
        <v>211.67800026780944</v>
      </c>
      <c r="J33" s="168">
        <f t="shared" si="61"/>
        <v>272.23733369041258</v>
      </c>
      <c r="K33" s="168">
        <f t="shared" si="61"/>
        <v>332.79666711301576</v>
      </c>
      <c r="L33" s="168">
        <f t="shared" si="61"/>
        <v>393.35600053561893</v>
      </c>
      <c r="M33" s="168">
        <f t="shared" si="61"/>
        <v>453.91533395822211</v>
      </c>
      <c r="N33" s="168">
        <f t="shared" si="61"/>
        <v>514.47466738082528</v>
      </c>
      <c r="O33" s="168">
        <f t="shared" si="61"/>
        <v>575.0340008034284</v>
      </c>
      <c r="P33" s="168">
        <f t="shared" si="3"/>
        <v>635.59333422603152</v>
      </c>
      <c r="Q33" s="168">
        <f t="shared" ref="Q33:S33" si="62">P33+100</f>
        <v>735.59333422603152</v>
      </c>
      <c r="R33" s="168">
        <f t="shared" si="62"/>
        <v>835.59333422603152</v>
      </c>
      <c r="S33" s="168">
        <f t="shared" si="62"/>
        <v>935.59333422603152</v>
      </c>
      <c r="T33">
        <v>30</v>
      </c>
    </row>
    <row r="34" spans="1:20" x14ac:dyDescent="0.3">
      <c r="A34" t="s">
        <v>358</v>
      </c>
      <c r="B34">
        <v>7</v>
      </c>
      <c r="C34">
        <v>10</v>
      </c>
      <c r="D34">
        <v>0</v>
      </c>
      <c r="E34">
        <f>2+12.45</f>
        <v>14.45</v>
      </c>
      <c r="F34" s="168">
        <v>30</v>
      </c>
      <c r="G34" s="168">
        <f>F34+(($P$34-$F$34)/10)</f>
        <v>93.154038838328518</v>
      </c>
      <c r="H34" s="168">
        <f t="shared" ref="H34:O34" si="63">G34+(($P$34-$F$34)/10)</f>
        <v>156.30807767665704</v>
      </c>
      <c r="I34" s="168">
        <f t="shared" si="63"/>
        <v>219.46211651498555</v>
      </c>
      <c r="J34" s="168">
        <f t="shared" si="63"/>
        <v>282.61615535331407</v>
      </c>
      <c r="K34" s="168">
        <f t="shared" si="63"/>
        <v>345.77019419164259</v>
      </c>
      <c r="L34" s="168">
        <f t="shared" si="63"/>
        <v>408.92423302997111</v>
      </c>
      <c r="M34" s="168">
        <f t="shared" si="63"/>
        <v>472.07827186829962</v>
      </c>
      <c r="N34" s="168">
        <f t="shared" si="63"/>
        <v>535.23231070662814</v>
      </c>
      <c r="O34" s="168">
        <f t="shared" si="63"/>
        <v>598.3863495449566</v>
      </c>
      <c r="P34" s="168">
        <f t="shared" si="3"/>
        <v>661.54038838328518</v>
      </c>
      <c r="Q34" s="168">
        <f t="shared" ref="Q34:S34" si="64">P34+100</f>
        <v>761.54038838328518</v>
      </c>
      <c r="R34" s="168">
        <f t="shared" si="64"/>
        <v>861.54038838328518</v>
      </c>
      <c r="S34" s="168">
        <f t="shared" si="64"/>
        <v>961.54038838328518</v>
      </c>
      <c r="T34">
        <v>31</v>
      </c>
    </row>
    <row r="35" spans="1:20" x14ac:dyDescent="0.3">
      <c r="A35" t="s">
        <v>359</v>
      </c>
      <c r="B35">
        <v>10</v>
      </c>
      <c r="C35">
        <v>9</v>
      </c>
      <c r="D35">
        <v>0</v>
      </c>
      <c r="E35">
        <v>16.420000000000002</v>
      </c>
      <c r="F35" s="168">
        <v>30</v>
      </c>
      <c r="G35" s="168">
        <f>F35+(($P$35-$F$35)/10)</f>
        <v>97.234131733302689</v>
      </c>
      <c r="H35" s="168">
        <f t="shared" ref="H35:O35" si="65">G35+(($P$35-$F$35)/10)</f>
        <v>164.46826346660538</v>
      </c>
      <c r="I35" s="168">
        <f t="shared" si="65"/>
        <v>231.70239519990807</v>
      </c>
      <c r="J35" s="168">
        <f t="shared" si="65"/>
        <v>298.93652693321076</v>
      </c>
      <c r="K35" s="168">
        <f t="shared" si="65"/>
        <v>366.17065866651342</v>
      </c>
      <c r="L35" s="168">
        <f t="shared" si="65"/>
        <v>433.40479039981608</v>
      </c>
      <c r="M35" s="168">
        <f t="shared" si="65"/>
        <v>500.63892213311874</v>
      </c>
      <c r="N35" s="168">
        <f t="shared" si="65"/>
        <v>567.8730538664214</v>
      </c>
      <c r="O35" s="168">
        <f t="shared" si="65"/>
        <v>635.10718559972406</v>
      </c>
      <c r="P35" s="168">
        <f t="shared" si="3"/>
        <v>702.34131733302684</v>
      </c>
      <c r="Q35" s="168">
        <f t="shared" ref="Q35:S35" si="66">P35+100</f>
        <v>802.34131733302684</v>
      </c>
      <c r="R35" s="168">
        <f t="shared" si="66"/>
        <v>902.34131733302684</v>
      </c>
      <c r="S35" s="168">
        <f t="shared" si="66"/>
        <v>1002.3413173330268</v>
      </c>
      <c r="T35">
        <v>32</v>
      </c>
    </row>
    <row r="36" spans="1:20" x14ac:dyDescent="0.3">
      <c r="A36" t="s">
        <v>360</v>
      </c>
      <c r="B36">
        <v>7</v>
      </c>
      <c r="C36">
        <v>7</v>
      </c>
      <c r="D36">
        <v>0</v>
      </c>
      <c r="E36">
        <v>17.239999999999998</v>
      </c>
      <c r="F36" s="168">
        <v>30</v>
      </c>
      <c r="G36" s="168">
        <f>F36+(($P$36-$F$36)/10)</f>
        <v>80.798323133182919</v>
      </c>
      <c r="H36" s="168">
        <f t="shared" ref="H36:O36" si="67">G36+(($P$36-$F$36)/10)</f>
        <v>131.59664626636584</v>
      </c>
      <c r="I36" s="168">
        <f t="shared" si="67"/>
        <v>182.39496939954876</v>
      </c>
      <c r="J36" s="168">
        <f t="shared" si="67"/>
        <v>233.19329253273168</v>
      </c>
      <c r="K36" s="168">
        <f t="shared" si="67"/>
        <v>283.99161566591459</v>
      </c>
      <c r="L36" s="168">
        <f t="shared" si="67"/>
        <v>334.78993879909751</v>
      </c>
      <c r="M36" s="168">
        <f t="shared" si="67"/>
        <v>385.58826193228043</v>
      </c>
      <c r="N36" s="168">
        <f t="shared" si="67"/>
        <v>436.38658506546335</v>
      </c>
      <c r="O36" s="168">
        <f t="shared" si="67"/>
        <v>487.18490819864627</v>
      </c>
      <c r="P36" s="168">
        <f t="shared" si="3"/>
        <v>537.98323133182919</v>
      </c>
      <c r="Q36" s="168">
        <f t="shared" ref="Q36:S36" si="68">P36+100</f>
        <v>637.98323133182919</v>
      </c>
      <c r="R36" s="168">
        <f t="shared" si="68"/>
        <v>737.98323133182919</v>
      </c>
      <c r="S36" s="168">
        <f t="shared" si="68"/>
        <v>837.98323133182919</v>
      </c>
      <c r="T36">
        <v>33</v>
      </c>
    </row>
    <row r="37" spans="1:20" x14ac:dyDescent="0.3">
      <c r="A37" t="s">
        <v>361</v>
      </c>
      <c r="B37">
        <v>7</v>
      </c>
      <c r="C37">
        <v>8</v>
      </c>
      <c r="D37">
        <v>0</v>
      </c>
      <c r="E37">
        <v>16.68</v>
      </c>
      <c r="F37" s="168">
        <v>30</v>
      </c>
      <c r="G37" s="168">
        <f>F37+(($P$37-$F$37)/10)</f>
        <v>84.613199422392526</v>
      </c>
      <c r="H37" s="168">
        <f t="shared" ref="H37:O37" si="69">G37+(($P$37-$F$37)/10)</f>
        <v>139.22639884478505</v>
      </c>
      <c r="I37" s="168">
        <f t="shared" si="69"/>
        <v>193.83959826717756</v>
      </c>
      <c r="J37" s="168">
        <f t="shared" si="69"/>
        <v>248.4527976895701</v>
      </c>
      <c r="K37" s="168">
        <f t="shared" si="69"/>
        <v>303.06599711196264</v>
      </c>
      <c r="L37" s="168">
        <f t="shared" si="69"/>
        <v>357.67919653435519</v>
      </c>
      <c r="M37" s="168">
        <f t="shared" si="69"/>
        <v>412.29239595674773</v>
      </c>
      <c r="N37" s="168">
        <f t="shared" si="69"/>
        <v>466.90559537914027</v>
      </c>
      <c r="O37" s="168">
        <f t="shared" si="69"/>
        <v>521.51879480153275</v>
      </c>
      <c r="P37" s="168">
        <f t="shared" si="3"/>
        <v>576.13199422392529</v>
      </c>
      <c r="Q37" s="168">
        <f t="shared" ref="Q37:S37" si="70">P37+100</f>
        <v>676.13199422392529</v>
      </c>
      <c r="R37" s="168">
        <f t="shared" si="70"/>
        <v>776.13199422392529</v>
      </c>
      <c r="S37" s="168">
        <f t="shared" si="70"/>
        <v>876.13199422392529</v>
      </c>
      <c r="T37">
        <v>34</v>
      </c>
    </row>
    <row r="38" spans="1:20" x14ac:dyDescent="0.3">
      <c r="A38" s="167" t="s">
        <v>362</v>
      </c>
      <c r="B38">
        <v>8</v>
      </c>
      <c r="C38">
        <v>10</v>
      </c>
      <c r="D38">
        <v>0</v>
      </c>
      <c r="E38">
        <v>11.3</v>
      </c>
      <c r="F38" s="168">
        <v>30</v>
      </c>
      <c r="G38" s="168">
        <f>F38+(($P$38-$F$38)/10)</f>
        <v>102.04221795488681</v>
      </c>
      <c r="H38" s="168">
        <f t="shared" ref="H38:O38" si="71">G38+(($P$38-$F$38)/10)</f>
        <v>174.08443590977362</v>
      </c>
      <c r="I38" s="168">
        <f t="shared" si="71"/>
        <v>246.12665386466043</v>
      </c>
      <c r="J38" s="168">
        <f t="shared" si="71"/>
        <v>318.16887181954723</v>
      </c>
      <c r="K38" s="168">
        <f t="shared" si="71"/>
        <v>390.21108977443407</v>
      </c>
      <c r="L38" s="168">
        <f t="shared" si="71"/>
        <v>462.25330772932091</v>
      </c>
      <c r="M38" s="168">
        <f t="shared" si="71"/>
        <v>534.29552568420775</v>
      </c>
      <c r="N38" s="168">
        <f t="shared" si="71"/>
        <v>606.33774363909458</v>
      </c>
      <c r="O38" s="168">
        <f t="shared" si="71"/>
        <v>678.37996159398142</v>
      </c>
      <c r="P38" s="168">
        <f t="shared" si="3"/>
        <v>750.42217954886814</v>
      </c>
      <c r="Q38" s="168">
        <f t="shared" ref="Q38:S38" si="72">P38+100</f>
        <v>850.42217954886814</v>
      </c>
      <c r="R38" s="168">
        <f t="shared" si="72"/>
        <v>950.42217954886814</v>
      </c>
      <c r="S38" s="168">
        <f t="shared" si="72"/>
        <v>1050.4221795488681</v>
      </c>
      <c r="T38">
        <v>35</v>
      </c>
    </row>
    <row r="39" spans="1:20" x14ac:dyDescent="0.3">
      <c r="A39" t="s">
        <v>363</v>
      </c>
      <c r="B39">
        <v>6</v>
      </c>
      <c r="C39">
        <v>6</v>
      </c>
      <c r="D39">
        <v>0</v>
      </c>
      <c r="E39">
        <v>39.42</v>
      </c>
      <c r="F39" s="168">
        <v>30</v>
      </c>
      <c r="G39" s="168">
        <f>F39+(($P$39-$F$39)/10)</f>
        <v>55.700253425878003</v>
      </c>
      <c r="H39" s="168">
        <f t="shared" ref="H39:O39" si="73">G39+(($P$39-$F$39)/10)</f>
        <v>81.400506851756006</v>
      </c>
      <c r="I39" s="168">
        <f t="shared" si="73"/>
        <v>107.10076027763401</v>
      </c>
      <c r="J39" s="168">
        <f t="shared" si="73"/>
        <v>132.80101370351201</v>
      </c>
      <c r="K39" s="168">
        <f t="shared" si="73"/>
        <v>158.50126712939002</v>
      </c>
      <c r="L39" s="168">
        <f t="shared" si="73"/>
        <v>184.20152055526802</v>
      </c>
      <c r="M39" s="168">
        <f t="shared" si="73"/>
        <v>209.90177398114602</v>
      </c>
      <c r="N39" s="168">
        <f t="shared" si="73"/>
        <v>235.60202740702402</v>
      </c>
      <c r="O39" s="168">
        <f t="shared" si="73"/>
        <v>261.30228083290206</v>
      </c>
      <c r="P39" s="168">
        <f t="shared" si="3"/>
        <v>287.00253425878003</v>
      </c>
      <c r="Q39" s="168">
        <f t="shared" ref="Q39:S39" si="74">P39+100</f>
        <v>387.00253425878003</v>
      </c>
      <c r="R39" s="168">
        <f t="shared" si="74"/>
        <v>487.00253425878003</v>
      </c>
      <c r="S39" s="168">
        <f t="shared" si="74"/>
        <v>587.00253425878009</v>
      </c>
      <c r="T39">
        <v>36</v>
      </c>
    </row>
    <row r="40" spans="1:20" x14ac:dyDescent="0.3">
      <c r="A40" t="s">
        <v>364</v>
      </c>
      <c r="B40">
        <v>10</v>
      </c>
      <c r="C40">
        <v>10</v>
      </c>
      <c r="D40">
        <v>0</v>
      </c>
      <c r="E40">
        <v>11.74</v>
      </c>
      <c r="F40" s="168">
        <v>30</v>
      </c>
      <c r="G40" s="168">
        <f>F40+(($P$40-$F$40)/10)</f>
        <v>108.20296929509402</v>
      </c>
      <c r="H40" s="168">
        <f t="shared" ref="H40:O40" si="75">G40+(($P$40-$F$40)/10)</f>
        <v>186.40593859018804</v>
      </c>
      <c r="I40" s="168">
        <f t="shared" si="75"/>
        <v>264.60890788528206</v>
      </c>
      <c r="J40" s="168">
        <f t="shared" si="75"/>
        <v>342.81187718037609</v>
      </c>
      <c r="K40" s="168">
        <f t="shared" si="75"/>
        <v>421.01484647547011</v>
      </c>
      <c r="L40" s="168">
        <f t="shared" si="75"/>
        <v>499.21781577056413</v>
      </c>
      <c r="M40" s="168">
        <f t="shared" si="75"/>
        <v>577.42078506565815</v>
      </c>
      <c r="N40" s="168">
        <f t="shared" si="75"/>
        <v>655.62375436075217</v>
      </c>
      <c r="O40" s="168">
        <f t="shared" si="75"/>
        <v>733.82672365584619</v>
      </c>
      <c r="P40" s="168">
        <f t="shared" si="3"/>
        <v>812.02969295094022</v>
      </c>
      <c r="Q40" s="168">
        <f t="shared" ref="Q40:S40" si="76">P40+100</f>
        <v>912.02969295094022</v>
      </c>
      <c r="R40" s="168">
        <f t="shared" si="76"/>
        <v>1012.0296929509402</v>
      </c>
      <c r="S40" s="168">
        <f t="shared" si="76"/>
        <v>1112.0296929509402</v>
      </c>
      <c r="T40">
        <v>37</v>
      </c>
    </row>
    <row r="41" spans="1:20" ht="15" thickBot="1" x14ac:dyDescent="0.35">
      <c r="A41" t="s">
        <v>365</v>
      </c>
      <c r="B41">
        <v>7</v>
      </c>
      <c r="C41">
        <v>8</v>
      </c>
      <c r="D41">
        <v>0</v>
      </c>
      <c r="E41">
        <f>2+42.36</f>
        <v>44.36</v>
      </c>
      <c r="F41" s="168">
        <v>30</v>
      </c>
      <c r="G41" s="168">
        <f>F41+(($P$41-$F$41)/10)</f>
        <v>58.144603901255124</v>
      </c>
      <c r="H41" s="168">
        <f t="shared" ref="H41:O41" si="77">G41+(($P$41-$F$41)/10)</f>
        <v>86.289207802510248</v>
      </c>
      <c r="I41" s="168">
        <f t="shared" si="77"/>
        <v>114.43381170376537</v>
      </c>
      <c r="J41" s="168">
        <f t="shared" si="77"/>
        <v>142.5784156050205</v>
      </c>
      <c r="K41" s="168">
        <f t="shared" si="77"/>
        <v>170.72301950627562</v>
      </c>
      <c r="L41" s="168">
        <f t="shared" si="77"/>
        <v>198.86762340753074</v>
      </c>
      <c r="M41" s="168">
        <f t="shared" si="77"/>
        <v>227.01222730878587</v>
      </c>
      <c r="N41" s="168">
        <f t="shared" si="77"/>
        <v>255.15683121004099</v>
      </c>
      <c r="O41" s="168">
        <f t="shared" si="77"/>
        <v>283.30143511129609</v>
      </c>
      <c r="P41" s="168">
        <f t="shared" si="3"/>
        <v>311.44603901255124</v>
      </c>
      <c r="Q41" s="168">
        <f t="shared" ref="Q41:S41" si="78">P41+100</f>
        <v>411.44603901255124</v>
      </c>
      <c r="R41" s="168">
        <f t="shared" si="78"/>
        <v>511.44603901255124</v>
      </c>
      <c r="S41" s="168">
        <f t="shared" si="78"/>
        <v>611.44603901255118</v>
      </c>
      <c r="T41">
        <v>38</v>
      </c>
    </row>
    <row r="42" spans="1:20" x14ac:dyDescent="0.3">
      <c r="A42" s="169"/>
      <c r="B42" s="170">
        <f>SUM(B3:B41)</f>
        <v>344</v>
      </c>
      <c r="C42" s="170">
        <f>SUM(C3:C41)</f>
        <v>349</v>
      </c>
      <c r="D42" s="170">
        <f>SUM(D3:D41)</f>
        <v>0</v>
      </c>
      <c r="E42" s="170">
        <f>SUM(E3:E41)</f>
        <v>640.64999999999986</v>
      </c>
      <c r="F42" s="170">
        <f>SUM(F3:F41)</f>
        <v>1170</v>
      </c>
      <c r="G42" s="170">
        <f t="shared" ref="G42:S42" si="79">SUM(G3:G41)</f>
        <v>3687.0593249096924</v>
      </c>
      <c r="H42" s="170">
        <f t="shared" si="79"/>
        <v>6204.1186498193847</v>
      </c>
      <c r="I42" s="170">
        <f t="shared" si="79"/>
        <v>8721.1779747290748</v>
      </c>
      <c r="J42" s="170">
        <f t="shared" si="79"/>
        <v>11238.237299638769</v>
      </c>
      <c r="K42" s="170">
        <f t="shared" si="79"/>
        <v>13755.296624548453</v>
      </c>
      <c r="L42" s="170">
        <f t="shared" si="79"/>
        <v>16272.35594945815</v>
      </c>
      <c r="M42" s="170">
        <f t="shared" si="79"/>
        <v>18789.415274367842</v>
      </c>
      <c r="N42" s="170">
        <f t="shared" si="79"/>
        <v>21306.474599277539</v>
      </c>
      <c r="O42" s="170">
        <f t="shared" si="79"/>
        <v>23823.533924187228</v>
      </c>
      <c r="P42" s="170">
        <f t="shared" si="79"/>
        <v>26340.593249096906</v>
      </c>
      <c r="Q42" s="170">
        <f t="shared" si="79"/>
        <v>30240.593249096906</v>
      </c>
      <c r="R42" s="170">
        <f t="shared" si="79"/>
        <v>34140.593249096921</v>
      </c>
      <c r="S42" s="171">
        <f t="shared" si="79"/>
        <v>38040.593249096928</v>
      </c>
    </row>
    <row r="43" spans="1:20" ht="15" thickBot="1" x14ac:dyDescent="0.35">
      <c r="A43" s="172" t="s">
        <v>367</v>
      </c>
      <c r="B43" s="173">
        <f>B42/39</f>
        <v>8.8205128205128212</v>
      </c>
      <c r="C43" s="173">
        <f>C42/39</f>
        <v>8.9487179487179489</v>
      </c>
      <c r="D43" s="173">
        <f>D42/39</f>
        <v>0</v>
      </c>
      <c r="E43" s="173">
        <f>E42/39+8</f>
        <v>24.426923076923075</v>
      </c>
      <c r="F43" s="174">
        <f>F42/39</f>
        <v>30</v>
      </c>
      <c r="G43" s="174">
        <f t="shared" ref="G43:P43" si="80">G42/39</f>
        <v>94.539982689992115</v>
      </c>
      <c r="H43" s="174">
        <f t="shared" si="80"/>
        <v>159.07996537998423</v>
      </c>
      <c r="I43" s="174">
        <f t="shared" si="80"/>
        <v>223.61994806997629</v>
      </c>
      <c r="J43" s="174">
        <f t="shared" si="80"/>
        <v>288.15993075996846</v>
      </c>
      <c r="K43" s="174">
        <f t="shared" si="80"/>
        <v>352.69991344996032</v>
      </c>
      <c r="L43" s="174">
        <f t="shared" si="80"/>
        <v>417.23989613995258</v>
      </c>
      <c r="M43" s="174">
        <f t="shared" si="80"/>
        <v>481.77987882994466</v>
      </c>
      <c r="N43" s="174">
        <f t="shared" si="80"/>
        <v>546.31986151993692</v>
      </c>
      <c r="O43" s="174">
        <f t="shared" si="80"/>
        <v>610.85984420992895</v>
      </c>
      <c r="P43" s="174">
        <f t="shared" si="80"/>
        <v>675.39982689992064</v>
      </c>
      <c r="Q43" s="174">
        <f t="shared" ref="Q43" si="81">Q42/39</f>
        <v>775.39982689992064</v>
      </c>
      <c r="R43" s="174">
        <f t="shared" ref="R43" si="82">R42/39</f>
        <v>875.39982689992109</v>
      </c>
      <c r="S43" s="175">
        <f t="shared" ref="S43" si="83">S42/39</f>
        <v>975.39982689992121</v>
      </c>
    </row>
    <row r="44" spans="1:20" x14ac:dyDescent="0.3">
      <c r="A44" s="169"/>
      <c r="B44" s="170">
        <f>B43*C43*(2.71828^(-1/20*(D43-2)))*(2.71828^(-1/45*(E43-90)))</f>
        <v>374.56626393627113</v>
      </c>
      <c r="C44" s="171"/>
    </row>
    <row r="45" spans="1:20" x14ac:dyDescent="0.3">
      <c r="A45" s="176" t="s">
        <v>368</v>
      </c>
      <c r="B45">
        <v>10</v>
      </c>
      <c r="C45" s="177">
        <v>10</v>
      </c>
      <c r="D45">
        <v>0</v>
      </c>
      <c r="E45">
        <v>11.74</v>
      </c>
      <c r="F45" t="str">
        <f>_xlfn.CONCAT(F3,",")</f>
        <v>30,</v>
      </c>
      <c r="G45" t="str">
        <f>_xlfn.CONCAT(ROUND(G3, 0),",")</f>
        <v>110,</v>
      </c>
      <c r="H45" t="str">
        <f t="shared" ref="H45:S45" si="84">_xlfn.CONCAT(ROUND(H3, 0),",")</f>
        <v>190,</v>
      </c>
      <c r="I45" t="str">
        <f t="shared" si="84"/>
        <v>270,</v>
      </c>
      <c r="J45" t="str">
        <f t="shared" si="84"/>
        <v>351,</v>
      </c>
      <c r="K45" t="str">
        <f t="shared" si="84"/>
        <v>431,</v>
      </c>
      <c r="L45" t="str">
        <f t="shared" si="84"/>
        <v>511,</v>
      </c>
      <c r="M45" t="str">
        <f t="shared" si="84"/>
        <v>591,</v>
      </c>
      <c r="N45" t="str">
        <f t="shared" si="84"/>
        <v>671,</v>
      </c>
      <c r="O45" t="str">
        <f t="shared" si="84"/>
        <v>751,</v>
      </c>
      <c r="P45" t="str">
        <f t="shared" si="84"/>
        <v>831,</v>
      </c>
      <c r="Q45" t="str">
        <f t="shared" si="84"/>
        <v>931,</v>
      </c>
      <c r="R45" t="str">
        <f t="shared" si="84"/>
        <v>1031,</v>
      </c>
      <c r="S45" t="str">
        <f t="shared" si="84"/>
        <v>1131,</v>
      </c>
    </row>
    <row r="46" spans="1:20" ht="15" thickBot="1" x14ac:dyDescent="0.35">
      <c r="A46" s="172"/>
      <c r="B46" s="173">
        <f>5*LN(B45+0.9)*5*LN(C45+0.9)*(2.71828^(-1/45*(E45-90)))</f>
        <v>812.02969295094022</v>
      </c>
      <c r="C46" s="178"/>
      <c r="F46" t="str">
        <f t="shared" ref="F46:F82" si="85">_xlfn.CONCAT(F4,",")</f>
        <v>30,</v>
      </c>
      <c r="G46" t="str">
        <f t="shared" ref="G46:S46" si="86">_xlfn.CONCAT(ROUND(G4, 0),",")</f>
        <v>102,</v>
      </c>
      <c r="H46" t="str">
        <f t="shared" si="86"/>
        <v>174,</v>
      </c>
      <c r="I46" t="str">
        <f t="shared" si="86"/>
        <v>246,</v>
      </c>
      <c r="J46" t="str">
        <f t="shared" si="86"/>
        <v>318,</v>
      </c>
      <c r="K46" t="str">
        <f t="shared" si="86"/>
        <v>390,</v>
      </c>
      <c r="L46" t="str">
        <f t="shared" si="86"/>
        <v>462,</v>
      </c>
      <c r="M46" t="str">
        <f t="shared" si="86"/>
        <v>534,</v>
      </c>
      <c r="N46" t="str">
        <f t="shared" si="86"/>
        <v>606,</v>
      </c>
      <c r="O46" t="str">
        <f t="shared" si="86"/>
        <v>678,</v>
      </c>
      <c r="P46" t="str">
        <f t="shared" si="86"/>
        <v>750,</v>
      </c>
      <c r="Q46" t="str">
        <f t="shared" si="86"/>
        <v>850,</v>
      </c>
      <c r="R46" t="str">
        <f t="shared" si="86"/>
        <v>950,</v>
      </c>
      <c r="S46" t="str">
        <f t="shared" si="86"/>
        <v>1050,</v>
      </c>
    </row>
    <row r="47" spans="1:20" x14ac:dyDescent="0.3">
      <c r="F47" t="str">
        <f t="shared" si="85"/>
        <v>30,</v>
      </c>
      <c r="G47" t="str">
        <f t="shared" ref="G47:S47" si="87">_xlfn.CONCAT(ROUND(G5, 0),",")</f>
        <v>101,</v>
      </c>
      <c r="H47" t="str">
        <f t="shared" si="87"/>
        <v>172,</v>
      </c>
      <c r="I47" t="str">
        <f t="shared" si="87"/>
        <v>243,</v>
      </c>
      <c r="J47" t="str">
        <f t="shared" si="87"/>
        <v>314,</v>
      </c>
      <c r="K47" t="str">
        <f t="shared" si="87"/>
        <v>385,</v>
      </c>
      <c r="L47" t="str">
        <f t="shared" si="87"/>
        <v>457,</v>
      </c>
      <c r="M47" t="str">
        <f t="shared" si="87"/>
        <v>528,</v>
      </c>
      <c r="N47" t="str">
        <f t="shared" si="87"/>
        <v>599,</v>
      </c>
      <c r="O47" t="str">
        <f t="shared" si="87"/>
        <v>670,</v>
      </c>
      <c r="P47" t="str">
        <f t="shared" si="87"/>
        <v>741,</v>
      </c>
      <c r="Q47" t="str">
        <f t="shared" si="87"/>
        <v>841,</v>
      </c>
      <c r="R47" t="str">
        <f t="shared" si="87"/>
        <v>941,</v>
      </c>
      <c r="S47" t="str">
        <f t="shared" si="87"/>
        <v>1041,</v>
      </c>
    </row>
    <row r="48" spans="1:20" x14ac:dyDescent="0.3">
      <c r="F48" t="str">
        <f t="shared" si="85"/>
        <v>30,</v>
      </c>
      <c r="G48" t="str">
        <f t="shared" ref="G48:S48" si="88">_xlfn.CONCAT(ROUND(G6, 0),",")</f>
        <v>90,</v>
      </c>
      <c r="H48" t="str">
        <f t="shared" si="88"/>
        <v>149,</v>
      </c>
      <c r="I48" t="str">
        <f t="shared" si="88"/>
        <v>209,</v>
      </c>
      <c r="J48" t="str">
        <f t="shared" si="88"/>
        <v>268,</v>
      </c>
      <c r="K48" t="str">
        <f t="shared" si="88"/>
        <v>328,</v>
      </c>
      <c r="L48" t="str">
        <f t="shared" si="88"/>
        <v>387,</v>
      </c>
      <c r="M48" t="str">
        <f t="shared" si="88"/>
        <v>447,</v>
      </c>
      <c r="N48" t="str">
        <f t="shared" si="88"/>
        <v>506,</v>
      </c>
      <c r="O48" t="str">
        <f t="shared" si="88"/>
        <v>566,</v>
      </c>
      <c r="P48" t="str">
        <f t="shared" si="88"/>
        <v>625,</v>
      </c>
      <c r="Q48" t="str">
        <f t="shared" si="88"/>
        <v>725,</v>
      </c>
      <c r="R48" t="str">
        <f t="shared" si="88"/>
        <v>825,</v>
      </c>
      <c r="S48" t="str">
        <f t="shared" si="88"/>
        <v>925,</v>
      </c>
    </row>
    <row r="49" spans="6:19" x14ac:dyDescent="0.3">
      <c r="F49" t="str">
        <f t="shared" si="85"/>
        <v>30,</v>
      </c>
      <c r="G49" t="str">
        <f t="shared" ref="G49:S49" si="89">_xlfn.CONCAT(ROUND(G7, 0),",")</f>
        <v>103,</v>
      </c>
      <c r="H49" t="str">
        <f t="shared" si="89"/>
        <v>176,</v>
      </c>
      <c r="I49" t="str">
        <f t="shared" si="89"/>
        <v>250,</v>
      </c>
      <c r="J49" t="str">
        <f t="shared" si="89"/>
        <v>323,</v>
      </c>
      <c r="K49" t="str">
        <f t="shared" si="89"/>
        <v>396,</v>
      </c>
      <c r="L49" t="str">
        <f t="shared" si="89"/>
        <v>469,</v>
      </c>
      <c r="M49" t="str">
        <f t="shared" si="89"/>
        <v>543,</v>
      </c>
      <c r="N49" t="str">
        <f t="shared" si="89"/>
        <v>616,</v>
      </c>
      <c r="O49" t="str">
        <f t="shared" si="89"/>
        <v>689,</v>
      </c>
      <c r="P49" t="str">
        <f t="shared" si="89"/>
        <v>762,</v>
      </c>
      <c r="Q49" t="str">
        <f t="shared" si="89"/>
        <v>862,</v>
      </c>
      <c r="R49" t="str">
        <f t="shared" si="89"/>
        <v>962,</v>
      </c>
      <c r="S49" t="str">
        <f t="shared" si="89"/>
        <v>1062,</v>
      </c>
    </row>
    <row r="50" spans="6:19" x14ac:dyDescent="0.3">
      <c r="F50" t="str">
        <f t="shared" si="85"/>
        <v>30,</v>
      </c>
      <c r="G50" t="str">
        <f t="shared" ref="G50:S50" si="90">_xlfn.CONCAT(ROUND(G8, 0),",")</f>
        <v>92,</v>
      </c>
      <c r="H50" t="str">
        <f t="shared" si="90"/>
        <v>155,</v>
      </c>
      <c r="I50" t="str">
        <f t="shared" si="90"/>
        <v>217,</v>
      </c>
      <c r="J50" t="str">
        <f t="shared" si="90"/>
        <v>279,</v>
      </c>
      <c r="K50" t="str">
        <f t="shared" si="90"/>
        <v>341,</v>
      </c>
      <c r="L50" t="str">
        <f t="shared" si="90"/>
        <v>404,</v>
      </c>
      <c r="M50" t="str">
        <f t="shared" si="90"/>
        <v>466,</v>
      </c>
      <c r="N50" t="str">
        <f t="shared" si="90"/>
        <v>528,</v>
      </c>
      <c r="O50" t="str">
        <f t="shared" si="90"/>
        <v>591,</v>
      </c>
      <c r="P50" t="str">
        <f t="shared" si="90"/>
        <v>653,</v>
      </c>
      <c r="Q50" t="str">
        <f t="shared" si="90"/>
        <v>753,</v>
      </c>
      <c r="R50" t="str">
        <f t="shared" si="90"/>
        <v>853,</v>
      </c>
      <c r="S50" t="str">
        <f t="shared" si="90"/>
        <v>953,</v>
      </c>
    </row>
    <row r="51" spans="6:19" x14ac:dyDescent="0.3">
      <c r="F51" t="str">
        <f t="shared" si="85"/>
        <v>30,</v>
      </c>
      <c r="G51" t="str">
        <f t="shared" ref="G51:S51" si="91">_xlfn.CONCAT(ROUND(G9, 0),",")</f>
        <v>113,</v>
      </c>
      <c r="H51" t="str">
        <f t="shared" si="91"/>
        <v>195,</v>
      </c>
      <c r="I51" t="str">
        <f t="shared" si="91"/>
        <v>278,</v>
      </c>
      <c r="J51" t="str">
        <f t="shared" si="91"/>
        <v>360,</v>
      </c>
      <c r="K51" t="str">
        <f t="shared" si="91"/>
        <v>443,</v>
      </c>
      <c r="L51" t="str">
        <f t="shared" si="91"/>
        <v>526,</v>
      </c>
      <c r="M51" t="str">
        <f t="shared" si="91"/>
        <v>608,</v>
      </c>
      <c r="N51" t="str">
        <f t="shared" si="91"/>
        <v>691,</v>
      </c>
      <c r="O51" t="str">
        <f t="shared" si="91"/>
        <v>774,</v>
      </c>
      <c r="P51" t="str">
        <f t="shared" si="91"/>
        <v>856,</v>
      </c>
      <c r="Q51" t="str">
        <f t="shared" si="91"/>
        <v>956,</v>
      </c>
      <c r="R51" t="str">
        <f t="shared" si="91"/>
        <v>1056,</v>
      </c>
      <c r="S51" t="str">
        <f t="shared" si="91"/>
        <v>1156,</v>
      </c>
    </row>
    <row r="52" spans="6:19" x14ac:dyDescent="0.3">
      <c r="F52" t="str">
        <f t="shared" si="85"/>
        <v>30,</v>
      </c>
      <c r="G52" t="str">
        <f t="shared" ref="G52:S52" si="92">_xlfn.CONCAT(ROUND(G10, 0),",")</f>
        <v>104,</v>
      </c>
      <c r="H52" t="str">
        <f t="shared" si="92"/>
        <v>177,</v>
      </c>
      <c r="I52" t="str">
        <f t="shared" si="92"/>
        <v>251,</v>
      </c>
      <c r="J52" t="str">
        <f t="shared" si="92"/>
        <v>325,</v>
      </c>
      <c r="K52" t="str">
        <f t="shared" si="92"/>
        <v>398,</v>
      </c>
      <c r="L52" t="str">
        <f t="shared" si="92"/>
        <v>472,</v>
      </c>
      <c r="M52" t="str">
        <f t="shared" si="92"/>
        <v>546,</v>
      </c>
      <c r="N52" t="str">
        <f t="shared" si="92"/>
        <v>619,</v>
      </c>
      <c r="O52" t="str">
        <f t="shared" si="92"/>
        <v>693,</v>
      </c>
      <c r="P52" t="str">
        <f t="shared" si="92"/>
        <v>767,</v>
      </c>
      <c r="Q52" t="str">
        <f t="shared" si="92"/>
        <v>867,</v>
      </c>
      <c r="R52" t="str">
        <f t="shared" si="92"/>
        <v>967,</v>
      </c>
      <c r="S52" t="str">
        <f t="shared" si="92"/>
        <v>1067,</v>
      </c>
    </row>
    <row r="53" spans="6:19" x14ac:dyDescent="0.3">
      <c r="F53" t="str">
        <f t="shared" si="85"/>
        <v>30,</v>
      </c>
      <c r="G53" t="str">
        <f t="shared" ref="G53:S53" si="93">_xlfn.CONCAT(ROUND(G11, 0),",")</f>
        <v>104,</v>
      </c>
      <c r="H53" t="str">
        <f t="shared" si="93"/>
        <v>178,</v>
      </c>
      <c r="I53" t="str">
        <f t="shared" si="93"/>
        <v>252,</v>
      </c>
      <c r="J53" t="str">
        <f t="shared" si="93"/>
        <v>326,</v>
      </c>
      <c r="K53" t="str">
        <f t="shared" si="93"/>
        <v>400,</v>
      </c>
      <c r="L53" t="str">
        <f t="shared" si="93"/>
        <v>474,</v>
      </c>
      <c r="M53" t="str">
        <f t="shared" si="93"/>
        <v>548,</v>
      </c>
      <c r="N53" t="str">
        <f t="shared" si="93"/>
        <v>621,</v>
      </c>
      <c r="O53" t="str">
        <f t="shared" si="93"/>
        <v>695,</v>
      </c>
      <c r="P53" t="str">
        <f t="shared" si="93"/>
        <v>769,</v>
      </c>
      <c r="Q53" t="str">
        <f t="shared" si="93"/>
        <v>869,</v>
      </c>
      <c r="R53" t="str">
        <f t="shared" si="93"/>
        <v>969,</v>
      </c>
      <c r="S53" t="str">
        <f t="shared" si="93"/>
        <v>1069,</v>
      </c>
    </row>
    <row r="54" spans="6:19" x14ac:dyDescent="0.3">
      <c r="F54" t="str">
        <f t="shared" si="85"/>
        <v>30,</v>
      </c>
      <c r="G54" t="str">
        <f t="shared" ref="G54:S54" si="94">_xlfn.CONCAT(ROUND(G12, 0),",")</f>
        <v>110,</v>
      </c>
      <c r="H54" t="str">
        <f t="shared" si="94"/>
        <v>189,</v>
      </c>
      <c r="I54" t="str">
        <f t="shared" si="94"/>
        <v>269,</v>
      </c>
      <c r="J54" t="str">
        <f t="shared" si="94"/>
        <v>348,</v>
      </c>
      <c r="K54" t="str">
        <f t="shared" si="94"/>
        <v>428,</v>
      </c>
      <c r="L54" t="str">
        <f t="shared" si="94"/>
        <v>507,</v>
      </c>
      <c r="M54" t="str">
        <f t="shared" si="94"/>
        <v>587,</v>
      </c>
      <c r="N54" t="str">
        <f t="shared" si="94"/>
        <v>666,</v>
      </c>
      <c r="O54" t="str">
        <f t="shared" si="94"/>
        <v>746,</v>
      </c>
      <c r="P54" t="str">
        <f t="shared" si="94"/>
        <v>825,</v>
      </c>
      <c r="Q54" t="str">
        <f t="shared" si="94"/>
        <v>925,</v>
      </c>
      <c r="R54" t="str">
        <f t="shared" si="94"/>
        <v>1025,</v>
      </c>
      <c r="S54" t="str">
        <f t="shared" si="94"/>
        <v>1125,</v>
      </c>
    </row>
    <row r="55" spans="6:19" x14ac:dyDescent="0.3">
      <c r="F55" t="str">
        <f t="shared" si="85"/>
        <v>30,</v>
      </c>
      <c r="G55" t="str">
        <f t="shared" ref="G55:S55" si="95">_xlfn.CONCAT(ROUND(G13, 0),",")</f>
        <v>105,</v>
      </c>
      <c r="H55" t="str">
        <f t="shared" si="95"/>
        <v>181,</v>
      </c>
      <c r="I55" t="str">
        <f t="shared" si="95"/>
        <v>256,</v>
      </c>
      <c r="J55" t="str">
        <f t="shared" si="95"/>
        <v>332,</v>
      </c>
      <c r="K55" t="str">
        <f t="shared" si="95"/>
        <v>407,</v>
      </c>
      <c r="L55" t="str">
        <f t="shared" si="95"/>
        <v>482,</v>
      </c>
      <c r="M55" t="str">
        <f t="shared" si="95"/>
        <v>558,</v>
      </c>
      <c r="N55" t="str">
        <f t="shared" si="95"/>
        <v>633,</v>
      </c>
      <c r="O55" t="str">
        <f t="shared" si="95"/>
        <v>708,</v>
      </c>
      <c r="P55" t="str">
        <f t="shared" si="95"/>
        <v>784,</v>
      </c>
      <c r="Q55" t="str">
        <f t="shared" si="95"/>
        <v>884,</v>
      </c>
      <c r="R55" t="str">
        <f t="shared" si="95"/>
        <v>984,</v>
      </c>
      <c r="S55" t="str">
        <f t="shared" si="95"/>
        <v>1084,</v>
      </c>
    </row>
    <row r="56" spans="6:19" x14ac:dyDescent="0.3">
      <c r="F56" t="str">
        <f t="shared" si="85"/>
        <v>30,</v>
      </c>
      <c r="G56" t="str">
        <f t="shared" ref="G56:S56" si="96">_xlfn.CONCAT(ROUND(G14, 0),",")</f>
        <v>113,</v>
      </c>
      <c r="H56" t="str">
        <f t="shared" si="96"/>
        <v>196,</v>
      </c>
      <c r="I56" t="str">
        <f t="shared" si="96"/>
        <v>279,</v>
      </c>
      <c r="J56" t="str">
        <f t="shared" si="96"/>
        <v>361,</v>
      </c>
      <c r="K56" t="str">
        <f t="shared" si="96"/>
        <v>444,</v>
      </c>
      <c r="L56" t="str">
        <f t="shared" si="96"/>
        <v>527,</v>
      </c>
      <c r="M56" t="str">
        <f t="shared" si="96"/>
        <v>610,</v>
      </c>
      <c r="N56" t="str">
        <f t="shared" si="96"/>
        <v>693,</v>
      </c>
      <c r="O56" t="str">
        <f t="shared" si="96"/>
        <v>776,</v>
      </c>
      <c r="P56" t="str">
        <f t="shared" si="96"/>
        <v>858,</v>
      </c>
      <c r="Q56" t="str">
        <f t="shared" si="96"/>
        <v>958,</v>
      </c>
      <c r="R56" t="str">
        <f t="shared" si="96"/>
        <v>1058,</v>
      </c>
      <c r="S56" t="str">
        <f t="shared" si="96"/>
        <v>1158,</v>
      </c>
    </row>
    <row r="57" spans="6:19" x14ac:dyDescent="0.3">
      <c r="F57" t="str">
        <f t="shared" si="85"/>
        <v>30,</v>
      </c>
      <c r="G57" t="str">
        <f t="shared" ref="G57:S57" si="97">_xlfn.CONCAT(ROUND(G15, 0),",")</f>
        <v>89,</v>
      </c>
      <c r="H57" t="str">
        <f t="shared" si="97"/>
        <v>148,</v>
      </c>
      <c r="I57" t="str">
        <f t="shared" si="97"/>
        <v>207,</v>
      </c>
      <c r="J57" t="str">
        <f t="shared" si="97"/>
        <v>266,</v>
      </c>
      <c r="K57" t="str">
        <f t="shared" si="97"/>
        <v>325,</v>
      </c>
      <c r="L57" t="str">
        <f t="shared" si="97"/>
        <v>384,</v>
      </c>
      <c r="M57" t="str">
        <f t="shared" si="97"/>
        <v>443,</v>
      </c>
      <c r="N57" t="str">
        <f t="shared" si="97"/>
        <v>502,</v>
      </c>
      <c r="O57" t="str">
        <f t="shared" si="97"/>
        <v>561,</v>
      </c>
      <c r="P57" t="str">
        <f t="shared" si="97"/>
        <v>620,</v>
      </c>
      <c r="Q57" t="str">
        <f t="shared" si="97"/>
        <v>720,</v>
      </c>
      <c r="R57" t="str">
        <f t="shared" si="97"/>
        <v>820,</v>
      </c>
      <c r="S57" t="str">
        <f t="shared" si="97"/>
        <v>920,</v>
      </c>
    </row>
    <row r="58" spans="6:19" x14ac:dyDescent="0.3">
      <c r="F58" t="str">
        <f t="shared" si="85"/>
        <v>30,</v>
      </c>
      <c r="G58" t="str">
        <f t="shared" ref="G58:S58" si="98">_xlfn.CONCAT(ROUND(G16, 0),",")</f>
        <v>98,</v>
      </c>
      <c r="H58" t="str">
        <f t="shared" si="98"/>
        <v>166,</v>
      </c>
      <c r="I58" t="str">
        <f t="shared" si="98"/>
        <v>233,</v>
      </c>
      <c r="J58" t="str">
        <f t="shared" si="98"/>
        <v>301,</v>
      </c>
      <c r="K58" t="str">
        <f t="shared" si="98"/>
        <v>369,</v>
      </c>
      <c r="L58" t="str">
        <f t="shared" si="98"/>
        <v>437,</v>
      </c>
      <c r="M58" t="str">
        <f t="shared" si="98"/>
        <v>504,</v>
      </c>
      <c r="N58" t="str">
        <f t="shared" si="98"/>
        <v>572,</v>
      </c>
      <c r="O58" t="str">
        <f t="shared" si="98"/>
        <v>640,</v>
      </c>
      <c r="P58" t="str">
        <f t="shared" si="98"/>
        <v>708,</v>
      </c>
      <c r="Q58" t="str">
        <f t="shared" si="98"/>
        <v>808,</v>
      </c>
      <c r="R58" t="str">
        <f t="shared" si="98"/>
        <v>908,</v>
      </c>
      <c r="S58" t="str">
        <f t="shared" si="98"/>
        <v>1008,</v>
      </c>
    </row>
    <row r="59" spans="6:19" x14ac:dyDescent="0.3">
      <c r="F59" t="str">
        <f t="shared" si="85"/>
        <v>30,</v>
      </c>
      <c r="G59" t="str">
        <f t="shared" ref="G59:S59" si="99">_xlfn.CONCAT(ROUND(G17, 0),",")</f>
        <v>104,</v>
      </c>
      <c r="H59" t="str">
        <f t="shared" si="99"/>
        <v>178,</v>
      </c>
      <c r="I59" t="str">
        <f t="shared" si="99"/>
        <v>252,</v>
      </c>
      <c r="J59" t="str">
        <f t="shared" si="99"/>
        <v>326,</v>
      </c>
      <c r="K59" t="str">
        <f t="shared" si="99"/>
        <v>400,</v>
      </c>
      <c r="L59" t="str">
        <f t="shared" si="99"/>
        <v>474,</v>
      </c>
      <c r="M59" t="str">
        <f t="shared" si="99"/>
        <v>548,</v>
      </c>
      <c r="N59" t="str">
        <f t="shared" si="99"/>
        <v>622,</v>
      </c>
      <c r="O59" t="str">
        <f t="shared" si="99"/>
        <v>696,</v>
      </c>
      <c r="P59" t="str">
        <f t="shared" si="99"/>
        <v>770,</v>
      </c>
      <c r="Q59" t="str">
        <f t="shared" si="99"/>
        <v>870,</v>
      </c>
      <c r="R59" t="str">
        <f t="shared" si="99"/>
        <v>970,</v>
      </c>
      <c r="S59" t="str">
        <f t="shared" si="99"/>
        <v>1070,</v>
      </c>
    </row>
    <row r="60" spans="6:19" x14ac:dyDescent="0.3">
      <c r="F60" t="str">
        <f t="shared" si="85"/>
        <v>30,</v>
      </c>
      <c r="G60" t="str">
        <f t="shared" ref="G60:S60" si="100">_xlfn.CONCAT(ROUND(G18, 0),",")</f>
        <v>95,</v>
      </c>
      <c r="H60" t="str">
        <f t="shared" si="100"/>
        <v>161,</v>
      </c>
      <c r="I60" t="str">
        <f t="shared" si="100"/>
        <v>226,</v>
      </c>
      <c r="J60" t="str">
        <f t="shared" si="100"/>
        <v>291,</v>
      </c>
      <c r="K60" t="str">
        <f t="shared" si="100"/>
        <v>357,</v>
      </c>
      <c r="L60" t="str">
        <f t="shared" si="100"/>
        <v>422,</v>
      </c>
      <c r="M60" t="str">
        <f t="shared" si="100"/>
        <v>487,</v>
      </c>
      <c r="N60" t="str">
        <f t="shared" si="100"/>
        <v>553,</v>
      </c>
      <c r="O60" t="str">
        <f t="shared" si="100"/>
        <v>618,</v>
      </c>
      <c r="P60" t="str">
        <f t="shared" si="100"/>
        <v>684,</v>
      </c>
      <c r="Q60" t="str">
        <f t="shared" si="100"/>
        <v>784,</v>
      </c>
      <c r="R60" t="str">
        <f t="shared" si="100"/>
        <v>884,</v>
      </c>
      <c r="S60" t="str">
        <f t="shared" si="100"/>
        <v>984,</v>
      </c>
    </row>
    <row r="61" spans="6:19" x14ac:dyDescent="0.3">
      <c r="F61" t="str">
        <f t="shared" si="85"/>
        <v>30,</v>
      </c>
      <c r="G61" t="str">
        <f t="shared" ref="G61:S61" si="101">_xlfn.CONCAT(ROUND(G19, 0),",")</f>
        <v>100,</v>
      </c>
      <c r="H61" t="str">
        <f t="shared" si="101"/>
        <v>170,</v>
      </c>
      <c r="I61" t="str">
        <f t="shared" si="101"/>
        <v>240,</v>
      </c>
      <c r="J61" t="str">
        <f t="shared" si="101"/>
        <v>309,</v>
      </c>
      <c r="K61" t="str">
        <f t="shared" si="101"/>
        <v>379,</v>
      </c>
      <c r="L61" t="str">
        <f t="shared" si="101"/>
        <v>449,</v>
      </c>
      <c r="M61" t="str">
        <f t="shared" si="101"/>
        <v>519,</v>
      </c>
      <c r="N61" t="str">
        <f t="shared" si="101"/>
        <v>589,</v>
      </c>
      <c r="O61" t="str">
        <f t="shared" si="101"/>
        <v>659,</v>
      </c>
      <c r="P61" t="str">
        <f t="shared" si="101"/>
        <v>729,</v>
      </c>
      <c r="Q61" t="str">
        <f t="shared" si="101"/>
        <v>829,</v>
      </c>
      <c r="R61" t="str">
        <f t="shared" si="101"/>
        <v>929,</v>
      </c>
      <c r="S61" t="str">
        <f t="shared" si="101"/>
        <v>1029,</v>
      </c>
    </row>
    <row r="62" spans="6:19" x14ac:dyDescent="0.3">
      <c r="F62" t="str">
        <f t="shared" si="85"/>
        <v>30,</v>
      </c>
      <c r="G62" t="str">
        <f t="shared" ref="G62:S62" si="102">_xlfn.CONCAT(ROUND(G20, 0),",")</f>
        <v>93,</v>
      </c>
      <c r="H62" t="str">
        <f t="shared" si="102"/>
        <v>157,</v>
      </c>
      <c r="I62" t="str">
        <f t="shared" si="102"/>
        <v>220,</v>
      </c>
      <c r="J62" t="str">
        <f t="shared" si="102"/>
        <v>283,</v>
      </c>
      <c r="K62" t="str">
        <f t="shared" si="102"/>
        <v>347,</v>
      </c>
      <c r="L62" t="str">
        <f t="shared" si="102"/>
        <v>410,</v>
      </c>
      <c r="M62" t="str">
        <f t="shared" si="102"/>
        <v>473,</v>
      </c>
      <c r="N62" t="str">
        <f t="shared" si="102"/>
        <v>537,</v>
      </c>
      <c r="O62" t="str">
        <f t="shared" si="102"/>
        <v>600,</v>
      </c>
      <c r="P62" t="str">
        <f t="shared" si="102"/>
        <v>663,</v>
      </c>
      <c r="Q62" t="str">
        <f t="shared" si="102"/>
        <v>763,</v>
      </c>
      <c r="R62" t="str">
        <f t="shared" si="102"/>
        <v>863,</v>
      </c>
      <c r="S62" t="str">
        <f t="shared" si="102"/>
        <v>963,</v>
      </c>
    </row>
    <row r="63" spans="6:19" x14ac:dyDescent="0.3">
      <c r="F63" t="str">
        <f t="shared" si="85"/>
        <v>30,</v>
      </c>
      <c r="G63" t="str">
        <f t="shared" ref="G63:S63" si="103">_xlfn.CONCAT(ROUND(G21, 0),",")</f>
        <v>92,</v>
      </c>
      <c r="H63" t="str">
        <f t="shared" si="103"/>
        <v>155,</v>
      </c>
      <c r="I63" t="str">
        <f t="shared" si="103"/>
        <v>217,</v>
      </c>
      <c r="J63" t="str">
        <f t="shared" si="103"/>
        <v>279,</v>
      </c>
      <c r="K63" t="str">
        <f t="shared" si="103"/>
        <v>342,</v>
      </c>
      <c r="L63" t="str">
        <f t="shared" si="103"/>
        <v>404,</v>
      </c>
      <c r="M63" t="str">
        <f t="shared" si="103"/>
        <v>467,</v>
      </c>
      <c r="N63" t="str">
        <f t="shared" si="103"/>
        <v>529,</v>
      </c>
      <c r="O63" t="str">
        <f t="shared" si="103"/>
        <v>591,</v>
      </c>
      <c r="P63" t="str">
        <f t="shared" si="103"/>
        <v>654,</v>
      </c>
      <c r="Q63" t="str">
        <f t="shared" si="103"/>
        <v>754,</v>
      </c>
      <c r="R63" t="str">
        <f t="shared" si="103"/>
        <v>854,</v>
      </c>
      <c r="S63" t="str">
        <f t="shared" si="103"/>
        <v>954,</v>
      </c>
    </row>
    <row r="64" spans="6:19" x14ac:dyDescent="0.3">
      <c r="F64" t="str">
        <f t="shared" si="85"/>
        <v>30,</v>
      </c>
      <c r="G64" t="str">
        <f t="shared" ref="G64:S64" si="104">_xlfn.CONCAT(ROUND(G22, 0),",")</f>
        <v>70,</v>
      </c>
      <c r="H64" t="str">
        <f t="shared" si="104"/>
        <v>109,</v>
      </c>
      <c r="I64" t="str">
        <f t="shared" si="104"/>
        <v>149,</v>
      </c>
      <c r="J64" t="str">
        <f t="shared" si="104"/>
        <v>189,</v>
      </c>
      <c r="K64" t="str">
        <f t="shared" si="104"/>
        <v>228,</v>
      </c>
      <c r="L64" t="str">
        <f t="shared" si="104"/>
        <v>268,</v>
      </c>
      <c r="M64" t="str">
        <f t="shared" si="104"/>
        <v>308,</v>
      </c>
      <c r="N64" t="str">
        <f t="shared" si="104"/>
        <v>347,</v>
      </c>
      <c r="O64" t="str">
        <f t="shared" si="104"/>
        <v>387,</v>
      </c>
      <c r="P64" t="str">
        <f t="shared" si="104"/>
        <v>427,</v>
      </c>
      <c r="Q64" t="str">
        <f t="shared" si="104"/>
        <v>527,</v>
      </c>
      <c r="R64" t="str">
        <f t="shared" si="104"/>
        <v>627,</v>
      </c>
      <c r="S64" t="str">
        <f t="shared" si="104"/>
        <v>727,</v>
      </c>
    </row>
    <row r="65" spans="6:19" x14ac:dyDescent="0.3">
      <c r="F65" t="str">
        <f t="shared" si="85"/>
        <v>30,</v>
      </c>
      <c r="G65" t="str">
        <f t="shared" ref="G65:S65" si="105">_xlfn.CONCAT(ROUND(G23, 0),",")</f>
        <v>110,</v>
      </c>
      <c r="H65" t="str">
        <f t="shared" si="105"/>
        <v>191,</v>
      </c>
      <c r="I65" t="str">
        <f t="shared" si="105"/>
        <v>271,</v>
      </c>
      <c r="J65" t="str">
        <f t="shared" si="105"/>
        <v>352,</v>
      </c>
      <c r="K65" t="str">
        <f t="shared" si="105"/>
        <v>432,</v>
      </c>
      <c r="L65" t="str">
        <f t="shared" si="105"/>
        <v>513,</v>
      </c>
      <c r="M65" t="str">
        <f t="shared" si="105"/>
        <v>593,</v>
      </c>
      <c r="N65" t="str">
        <f t="shared" si="105"/>
        <v>674,</v>
      </c>
      <c r="O65" t="str">
        <f t="shared" si="105"/>
        <v>754,</v>
      </c>
      <c r="P65" t="str">
        <f t="shared" si="105"/>
        <v>835,</v>
      </c>
      <c r="Q65" t="str">
        <f t="shared" si="105"/>
        <v>935,</v>
      </c>
      <c r="R65" t="str">
        <f t="shared" si="105"/>
        <v>1035,</v>
      </c>
      <c r="S65" t="str">
        <f t="shared" si="105"/>
        <v>1135,</v>
      </c>
    </row>
    <row r="66" spans="6:19" x14ac:dyDescent="0.3">
      <c r="F66" t="str">
        <f t="shared" si="85"/>
        <v>30,</v>
      </c>
      <c r="G66" t="str">
        <f t="shared" ref="G66:S66" si="106">_xlfn.CONCAT(ROUND(G24, 0),",")</f>
        <v>100,</v>
      </c>
      <c r="H66" t="str">
        <f t="shared" si="106"/>
        <v>169,</v>
      </c>
      <c r="I66" t="str">
        <f t="shared" si="106"/>
        <v>239,</v>
      </c>
      <c r="J66" t="str">
        <f t="shared" si="106"/>
        <v>309,</v>
      </c>
      <c r="K66" t="str">
        <f t="shared" si="106"/>
        <v>378,</v>
      </c>
      <c r="L66" t="str">
        <f t="shared" si="106"/>
        <v>448,</v>
      </c>
      <c r="M66" t="str">
        <f t="shared" si="106"/>
        <v>517,</v>
      </c>
      <c r="N66" t="str">
        <f t="shared" si="106"/>
        <v>587,</v>
      </c>
      <c r="O66" t="str">
        <f t="shared" si="106"/>
        <v>657,</v>
      </c>
      <c r="P66" t="str">
        <f t="shared" si="106"/>
        <v>726,</v>
      </c>
      <c r="Q66" t="str">
        <f t="shared" si="106"/>
        <v>826,</v>
      </c>
      <c r="R66" t="str">
        <f t="shared" si="106"/>
        <v>926,</v>
      </c>
      <c r="S66" t="str">
        <f t="shared" si="106"/>
        <v>1026,</v>
      </c>
    </row>
    <row r="67" spans="6:19" x14ac:dyDescent="0.3">
      <c r="F67" t="str">
        <f t="shared" si="85"/>
        <v>30,</v>
      </c>
      <c r="G67" t="str">
        <f t="shared" ref="G67:S67" si="107">_xlfn.CONCAT(ROUND(G25, 0),",")</f>
        <v>95,</v>
      </c>
      <c r="H67" t="str">
        <f t="shared" si="107"/>
        <v>160,</v>
      </c>
      <c r="I67" t="str">
        <f t="shared" si="107"/>
        <v>226,</v>
      </c>
      <c r="J67" t="str">
        <f t="shared" si="107"/>
        <v>291,</v>
      </c>
      <c r="K67" t="str">
        <f t="shared" si="107"/>
        <v>356,</v>
      </c>
      <c r="L67" t="str">
        <f t="shared" si="107"/>
        <v>421,</v>
      </c>
      <c r="M67" t="str">
        <f t="shared" si="107"/>
        <v>487,</v>
      </c>
      <c r="N67" t="str">
        <f t="shared" si="107"/>
        <v>552,</v>
      </c>
      <c r="O67" t="str">
        <f t="shared" si="107"/>
        <v>617,</v>
      </c>
      <c r="P67" t="str">
        <f t="shared" si="107"/>
        <v>682,</v>
      </c>
      <c r="Q67" t="str">
        <f t="shared" si="107"/>
        <v>782,</v>
      </c>
      <c r="R67" t="str">
        <f t="shared" si="107"/>
        <v>882,</v>
      </c>
      <c r="S67" t="str">
        <f t="shared" si="107"/>
        <v>982,</v>
      </c>
    </row>
    <row r="68" spans="6:19" x14ac:dyDescent="0.3">
      <c r="F68" t="str">
        <f t="shared" si="85"/>
        <v>30,</v>
      </c>
      <c r="G68" t="str">
        <f t="shared" ref="G68:S68" si="108">_xlfn.CONCAT(ROUND(G26, 0),",")</f>
        <v>91,</v>
      </c>
      <c r="H68" t="str">
        <f t="shared" si="108"/>
        <v>152,</v>
      </c>
      <c r="I68" t="str">
        <f t="shared" si="108"/>
        <v>213,</v>
      </c>
      <c r="J68" t="str">
        <f t="shared" si="108"/>
        <v>273,</v>
      </c>
      <c r="K68" t="str">
        <f t="shared" si="108"/>
        <v>334,</v>
      </c>
      <c r="L68" t="str">
        <f t="shared" si="108"/>
        <v>395,</v>
      </c>
      <c r="M68" t="str">
        <f t="shared" si="108"/>
        <v>456,</v>
      </c>
      <c r="N68" t="str">
        <f t="shared" si="108"/>
        <v>517,</v>
      </c>
      <c r="O68" t="str">
        <f t="shared" si="108"/>
        <v>578,</v>
      </c>
      <c r="P68" t="str">
        <f t="shared" si="108"/>
        <v>639,</v>
      </c>
      <c r="Q68" t="str">
        <f t="shared" si="108"/>
        <v>739,</v>
      </c>
      <c r="R68" t="str">
        <f t="shared" si="108"/>
        <v>839,</v>
      </c>
      <c r="S68" t="str">
        <f t="shared" si="108"/>
        <v>939,</v>
      </c>
    </row>
    <row r="69" spans="6:19" x14ac:dyDescent="0.3">
      <c r="F69" t="str">
        <f t="shared" si="85"/>
        <v>30,</v>
      </c>
      <c r="G69" t="str">
        <f t="shared" ref="G69:S69" si="109">_xlfn.CONCAT(ROUND(G27, 0),",")</f>
        <v>100,</v>
      </c>
      <c r="H69" t="str">
        <f t="shared" si="109"/>
        <v>171,</v>
      </c>
      <c r="I69" t="str">
        <f t="shared" si="109"/>
        <v>241,</v>
      </c>
      <c r="J69" t="str">
        <f t="shared" si="109"/>
        <v>311,</v>
      </c>
      <c r="K69" t="str">
        <f t="shared" si="109"/>
        <v>381,</v>
      </c>
      <c r="L69" t="str">
        <f t="shared" si="109"/>
        <v>452,</v>
      </c>
      <c r="M69" t="str">
        <f t="shared" si="109"/>
        <v>522,</v>
      </c>
      <c r="N69" t="str">
        <f t="shared" si="109"/>
        <v>592,</v>
      </c>
      <c r="O69" t="str">
        <f t="shared" si="109"/>
        <v>663,</v>
      </c>
      <c r="P69" t="str">
        <f t="shared" si="109"/>
        <v>733,</v>
      </c>
      <c r="Q69" t="str">
        <f t="shared" si="109"/>
        <v>833,</v>
      </c>
      <c r="R69" t="str">
        <f t="shared" si="109"/>
        <v>933,</v>
      </c>
      <c r="S69" t="str">
        <f t="shared" si="109"/>
        <v>1033,</v>
      </c>
    </row>
    <row r="70" spans="6:19" x14ac:dyDescent="0.3">
      <c r="F70" t="str">
        <f t="shared" si="85"/>
        <v>30,</v>
      </c>
      <c r="G70" t="str">
        <f t="shared" ref="G70:S70" si="110">_xlfn.CONCAT(ROUND(G28, 0),",")</f>
        <v>93,</v>
      </c>
      <c r="H70" t="str">
        <f t="shared" si="110"/>
        <v>155,</v>
      </c>
      <c r="I70" t="str">
        <f t="shared" si="110"/>
        <v>218,</v>
      </c>
      <c r="J70" t="str">
        <f t="shared" si="110"/>
        <v>280,</v>
      </c>
      <c r="K70" t="str">
        <f t="shared" si="110"/>
        <v>343,</v>
      </c>
      <c r="L70" t="str">
        <f t="shared" si="110"/>
        <v>406,</v>
      </c>
      <c r="M70" t="str">
        <f t="shared" si="110"/>
        <v>468,</v>
      </c>
      <c r="N70" t="str">
        <f t="shared" si="110"/>
        <v>531,</v>
      </c>
      <c r="O70" t="str">
        <f t="shared" si="110"/>
        <v>593,</v>
      </c>
      <c r="P70" t="str">
        <f t="shared" si="110"/>
        <v>656,</v>
      </c>
      <c r="Q70" t="str">
        <f t="shared" si="110"/>
        <v>756,</v>
      </c>
      <c r="R70" t="str">
        <f t="shared" si="110"/>
        <v>856,</v>
      </c>
      <c r="S70" t="str">
        <f t="shared" si="110"/>
        <v>956,</v>
      </c>
    </row>
    <row r="71" spans="6:19" x14ac:dyDescent="0.3">
      <c r="F71" t="str">
        <f t="shared" si="85"/>
        <v>30,</v>
      </c>
      <c r="G71" t="str">
        <f t="shared" ref="G71:S71" si="111">_xlfn.CONCAT(ROUND(G29, 0),",")</f>
        <v>91,</v>
      </c>
      <c r="H71" t="str">
        <f t="shared" si="111"/>
        <v>152,</v>
      </c>
      <c r="I71" t="str">
        <f t="shared" si="111"/>
        <v>213,</v>
      </c>
      <c r="J71" t="str">
        <f t="shared" si="111"/>
        <v>274,</v>
      </c>
      <c r="K71" t="str">
        <f t="shared" si="111"/>
        <v>335,</v>
      </c>
      <c r="L71" t="str">
        <f t="shared" si="111"/>
        <v>396,</v>
      </c>
      <c r="M71" t="str">
        <f t="shared" si="111"/>
        <v>457,</v>
      </c>
      <c r="N71" t="str">
        <f t="shared" si="111"/>
        <v>518,</v>
      </c>
      <c r="O71" t="str">
        <f t="shared" si="111"/>
        <v>579,</v>
      </c>
      <c r="P71" t="str">
        <f t="shared" si="111"/>
        <v>640,</v>
      </c>
      <c r="Q71" t="str">
        <f t="shared" si="111"/>
        <v>740,</v>
      </c>
      <c r="R71" t="str">
        <f t="shared" si="111"/>
        <v>840,</v>
      </c>
      <c r="S71" t="str">
        <f t="shared" si="111"/>
        <v>940,</v>
      </c>
    </row>
    <row r="72" spans="6:19" x14ac:dyDescent="0.3">
      <c r="F72" t="str">
        <f t="shared" si="85"/>
        <v>30,</v>
      </c>
      <c r="G72" t="str">
        <f t="shared" ref="G72:S72" si="112">_xlfn.CONCAT(ROUND(G30, 0),",")</f>
        <v>71,</v>
      </c>
      <c r="H72" t="str">
        <f t="shared" si="112"/>
        <v>112,</v>
      </c>
      <c r="I72" t="str">
        <f t="shared" si="112"/>
        <v>153,</v>
      </c>
      <c r="J72" t="str">
        <f t="shared" si="112"/>
        <v>194,</v>
      </c>
      <c r="K72" t="str">
        <f t="shared" si="112"/>
        <v>235,</v>
      </c>
      <c r="L72" t="str">
        <f t="shared" si="112"/>
        <v>276,</v>
      </c>
      <c r="M72" t="str">
        <f t="shared" si="112"/>
        <v>317,</v>
      </c>
      <c r="N72" t="str">
        <f t="shared" si="112"/>
        <v>358,</v>
      </c>
      <c r="O72" t="str">
        <f t="shared" si="112"/>
        <v>399,</v>
      </c>
      <c r="P72" t="str">
        <f t="shared" si="112"/>
        <v>440,</v>
      </c>
      <c r="Q72" t="str">
        <f t="shared" si="112"/>
        <v>540,</v>
      </c>
      <c r="R72" t="str">
        <f t="shared" si="112"/>
        <v>640,</v>
      </c>
      <c r="S72" t="str">
        <f t="shared" si="112"/>
        <v>740,</v>
      </c>
    </row>
    <row r="73" spans="6:19" x14ac:dyDescent="0.3">
      <c r="F73" t="str">
        <f t="shared" si="85"/>
        <v>30,</v>
      </c>
      <c r="G73" t="str">
        <f t="shared" ref="G73:S73" si="113">_xlfn.CONCAT(ROUND(G31, 0),",")</f>
        <v>84,</v>
      </c>
      <c r="H73" t="str">
        <f t="shared" si="113"/>
        <v>138,</v>
      </c>
      <c r="I73" t="str">
        <f t="shared" si="113"/>
        <v>192,</v>
      </c>
      <c r="J73" t="str">
        <f t="shared" si="113"/>
        <v>246,</v>
      </c>
      <c r="K73" t="str">
        <f t="shared" si="113"/>
        <v>300,</v>
      </c>
      <c r="L73" t="str">
        <f t="shared" si="113"/>
        <v>353,</v>
      </c>
      <c r="M73" t="str">
        <f t="shared" si="113"/>
        <v>407,</v>
      </c>
      <c r="N73" t="str">
        <f t="shared" si="113"/>
        <v>461,</v>
      </c>
      <c r="O73" t="str">
        <f t="shared" si="113"/>
        <v>515,</v>
      </c>
      <c r="P73" t="str">
        <f t="shared" si="113"/>
        <v>569,</v>
      </c>
      <c r="Q73" t="str">
        <f t="shared" si="113"/>
        <v>669,</v>
      </c>
      <c r="R73" t="str">
        <f t="shared" si="113"/>
        <v>769,</v>
      </c>
      <c r="S73" t="str">
        <f t="shared" si="113"/>
        <v>869,</v>
      </c>
    </row>
    <row r="74" spans="6:19" x14ac:dyDescent="0.3">
      <c r="F74" t="str">
        <f t="shared" si="85"/>
        <v>30,</v>
      </c>
      <c r="G74" t="str">
        <f t="shared" ref="G74:S74" si="114">_xlfn.CONCAT(ROUND(G32, 0),",")</f>
        <v>94,</v>
      </c>
      <c r="H74" t="str">
        <f t="shared" si="114"/>
        <v>158,</v>
      </c>
      <c r="I74" t="str">
        <f t="shared" si="114"/>
        <v>222,</v>
      </c>
      <c r="J74" t="str">
        <f t="shared" si="114"/>
        <v>287,</v>
      </c>
      <c r="K74" t="str">
        <f t="shared" si="114"/>
        <v>351,</v>
      </c>
      <c r="L74" t="str">
        <f t="shared" si="114"/>
        <v>415,</v>
      </c>
      <c r="M74" t="str">
        <f t="shared" si="114"/>
        <v>479,</v>
      </c>
      <c r="N74" t="str">
        <f t="shared" si="114"/>
        <v>543,</v>
      </c>
      <c r="O74" t="str">
        <f t="shared" si="114"/>
        <v>607,</v>
      </c>
      <c r="P74" t="str">
        <f t="shared" si="114"/>
        <v>671,</v>
      </c>
      <c r="Q74" t="str">
        <f t="shared" si="114"/>
        <v>771,</v>
      </c>
      <c r="R74" t="str">
        <f t="shared" si="114"/>
        <v>871,</v>
      </c>
      <c r="S74" t="str">
        <f t="shared" si="114"/>
        <v>971,</v>
      </c>
    </row>
    <row r="75" spans="6:19" x14ac:dyDescent="0.3">
      <c r="F75" t="str">
        <f t="shared" si="85"/>
        <v>30,</v>
      </c>
      <c r="G75" t="str">
        <f t="shared" ref="G75:S75" si="115">_xlfn.CONCAT(ROUND(G33, 0),",")</f>
        <v>91,</v>
      </c>
      <c r="H75" t="str">
        <f t="shared" si="115"/>
        <v>151,</v>
      </c>
      <c r="I75" t="str">
        <f t="shared" si="115"/>
        <v>212,</v>
      </c>
      <c r="J75" t="str">
        <f t="shared" si="115"/>
        <v>272,</v>
      </c>
      <c r="K75" t="str">
        <f t="shared" si="115"/>
        <v>333,</v>
      </c>
      <c r="L75" t="str">
        <f t="shared" si="115"/>
        <v>393,</v>
      </c>
      <c r="M75" t="str">
        <f t="shared" si="115"/>
        <v>454,</v>
      </c>
      <c r="N75" t="str">
        <f t="shared" si="115"/>
        <v>514,</v>
      </c>
      <c r="O75" t="str">
        <f t="shared" si="115"/>
        <v>575,</v>
      </c>
      <c r="P75" t="str">
        <f t="shared" si="115"/>
        <v>636,</v>
      </c>
      <c r="Q75" t="str">
        <f t="shared" si="115"/>
        <v>736,</v>
      </c>
      <c r="R75" t="str">
        <f t="shared" si="115"/>
        <v>836,</v>
      </c>
      <c r="S75" t="str">
        <f t="shared" si="115"/>
        <v>936,</v>
      </c>
    </row>
    <row r="76" spans="6:19" x14ac:dyDescent="0.3">
      <c r="F76" t="str">
        <f t="shared" si="85"/>
        <v>30,</v>
      </c>
      <c r="G76" t="str">
        <f t="shared" ref="G76:S76" si="116">_xlfn.CONCAT(ROUND(G34, 0),",")</f>
        <v>93,</v>
      </c>
      <c r="H76" t="str">
        <f t="shared" si="116"/>
        <v>156,</v>
      </c>
      <c r="I76" t="str">
        <f t="shared" si="116"/>
        <v>219,</v>
      </c>
      <c r="J76" t="str">
        <f t="shared" si="116"/>
        <v>283,</v>
      </c>
      <c r="K76" t="str">
        <f t="shared" si="116"/>
        <v>346,</v>
      </c>
      <c r="L76" t="str">
        <f t="shared" si="116"/>
        <v>409,</v>
      </c>
      <c r="M76" t="str">
        <f t="shared" si="116"/>
        <v>472,</v>
      </c>
      <c r="N76" t="str">
        <f t="shared" si="116"/>
        <v>535,</v>
      </c>
      <c r="O76" t="str">
        <f t="shared" si="116"/>
        <v>598,</v>
      </c>
      <c r="P76" t="str">
        <f t="shared" si="116"/>
        <v>662,</v>
      </c>
      <c r="Q76" t="str">
        <f t="shared" si="116"/>
        <v>762,</v>
      </c>
      <c r="R76" t="str">
        <f t="shared" si="116"/>
        <v>862,</v>
      </c>
      <c r="S76" t="str">
        <f t="shared" si="116"/>
        <v>962,</v>
      </c>
    </row>
    <row r="77" spans="6:19" x14ac:dyDescent="0.3">
      <c r="F77" t="str">
        <f t="shared" si="85"/>
        <v>30,</v>
      </c>
      <c r="G77" t="str">
        <f t="shared" ref="G77:S77" si="117">_xlfn.CONCAT(ROUND(G35, 0),",")</f>
        <v>97,</v>
      </c>
      <c r="H77" t="str">
        <f t="shared" si="117"/>
        <v>164,</v>
      </c>
      <c r="I77" t="str">
        <f t="shared" si="117"/>
        <v>232,</v>
      </c>
      <c r="J77" t="str">
        <f t="shared" si="117"/>
        <v>299,</v>
      </c>
      <c r="K77" t="str">
        <f t="shared" si="117"/>
        <v>366,</v>
      </c>
      <c r="L77" t="str">
        <f t="shared" si="117"/>
        <v>433,</v>
      </c>
      <c r="M77" t="str">
        <f t="shared" si="117"/>
        <v>501,</v>
      </c>
      <c r="N77" t="str">
        <f t="shared" si="117"/>
        <v>568,</v>
      </c>
      <c r="O77" t="str">
        <f t="shared" si="117"/>
        <v>635,</v>
      </c>
      <c r="P77" t="str">
        <f t="shared" si="117"/>
        <v>702,</v>
      </c>
      <c r="Q77" t="str">
        <f t="shared" si="117"/>
        <v>802,</v>
      </c>
      <c r="R77" t="str">
        <f t="shared" si="117"/>
        <v>902,</v>
      </c>
      <c r="S77" t="str">
        <f t="shared" si="117"/>
        <v>1002,</v>
      </c>
    </row>
    <row r="78" spans="6:19" x14ac:dyDescent="0.3">
      <c r="F78" t="str">
        <f t="shared" si="85"/>
        <v>30,</v>
      </c>
      <c r="G78" t="str">
        <f t="shared" ref="G78:S78" si="118">_xlfn.CONCAT(ROUND(G36, 0),",")</f>
        <v>81,</v>
      </c>
      <c r="H78" t="str">
        <f t="shared" si="118"/>
        <v>132,</v>
      </c>
      <c r="I78" t="str">
        <f t="shared" si="118"/>
        <v>182,</v>
      </c>
      <c r="J78" t="str">
        <f t="shared" si="118"/>
        <v>233,</v>
      </c>
      <c r="K78" t="str">
        <f t="shared" si="118"/>
        <v>284,</v>
      </c>
      <c r="L78" t="str">
        <f t="shared" si="118"/>
        <v>335,</v>
      </c>
      <c r="M78" t="str">
        <f t="shared" si="118"/>
        <v>386,</v>
      </c>
      <c r="N78" t="str">
        <f t="shared" si="118"/>
        <v>436,</v>
      </c>
      <c r="O78" t="str">
        <f t="shared" si="118"/>
        <v>487,</v>
      </c>
      <c r="P78" t="str">
        <f t="shared" si="118"/>
        <v>538,</v>
      </c>
      <c r="Q78" t="str">
        <f t="shared" si="118"/>
        <v>638,</v>
      </c>
      <c r="R78" t="str">
        <f t="shared" si="118"/>
        <v>738,</v>
      </c>
      <c r="S78" t="str">
        <f t="shared" si="118"/>
        <v>838,</v>
      </c>
    </row>
    <row r="79" spans="6:19" x14ac:dyDescent="0.3">
      <c r="F79" t="str">
        <f t="shared" si="85"/>
        <v>30,</v>
      </c>
      <c r="G79" t="str">
        <f t="shared" ref="G79:S79" si="119">_xlfn.CONCAT(ROUND(G37, 0),",")</f>
        <v>85,</v>
      </c>
      <c r="H79" t="str">
        <f t="shared" si="119"/>
        <v>139,</v>
      </c>
      <c r="I79" t="str">
        <f t="shared" si="119"/>
        <v>194,</v>
      </c>
      <c r="J79" t="str">
        <f t="shared" si="119"/>
        <v>248,</v>
      </c>
      <c r="K79" t="str">
        <f t="shared" si="119"/>
        <v>303,</v>
      </c>
      <c r="L79" t="str">
        <f t="shared" si="119"/>
        <v>358,</v>
      </c>
      <c r="M79" t="str">
        <f t="shared" si="119"/>
        <v>412,</v>
      </c>
      <c r="N79" t="str">
        <f t="shared" si="119"/>
        <v>467,</v>
      </c>
      <c r="O79" t="str">
        <f t="shared" si="119"/>
        <v>522,</v>
      </c>
      <c r="P79" t="str">
        <f t="shared" si="119"/>
        <v>576,</v>
      </c>
      <c r="Q79" t="str">
        <f t="shared" si="119"/>
        <v>676,</v>
      </c>
      <c r="R79" t="str">
        <f t="shared" si="119"/>
        <v>776,</v>
      </c>
      <c r="S79" t="str">
        <f t="shared" si="119"/>
        <v>876,</v>
      </c>
    </row>
    <row r="80" spans="6:19" x14ac:dyDescent="0.3">
      <c r="F80" t="str">
        <f t="shared" si="85"/>
        <v>30,</v>
      </c>
      <c r="G80" t="str">
        <f t="shared" ref="G80:S80" si="120">_xlfn.CONCAT(ROUND(G38, 0),",")</f>
        <v>102,</v>
      </c>
      <c r="H80" t="str">
        <f t="shared" si="120"/>
        <v>174,</v>
      </c>
      <c r="I80" t="str">
        <f t="shared" si="120"/>
        <v>246,</v>
      </c>
      <c r="J80" t="str">
        <f t="shared" si="120"/>
        <v>318,</v>
      </c>
      <c r="K80" t="str">
        <f t="shared" si="120"/>
        <v>390,</v>
      </c>
      <c r="L80" t="str">
        <f t="shared" si="120"/>
        <v>462,</v>
      </c>
      <c r="M80" t="str">
        <f t="shared" si="120"/>
        <v>534,</v>
      </c>
      <c r="N80" t="str">
        <f t="shared" si="120"/>
        <v>606,</v>
      </c>
      <c r="O80" t="str">
        <f t="shared" si="120"/>
        <v>678,</v>
      </c>
      <c r="P80" t="str">
        <f t="shared" si="120"/>
        <v>750,</v>
      </c>
      <c r="Q80" t="str">
        <f t="shared" si="120"/>
        <v>850,</v>
      </c>
      <c r="R80" t="str">
        <f t="shared" si="120"/>
        <v>950,</v>
      </c>
      <c r="S80" t="str">
        <f t="shared" si="120"/>
        <v>1050,</v>
      </c>
    </row>
    <row r="81" spans="6:19" x14ac:dyDescent="0.3">
      <c r="F81" t="str">
        <f t="shared" si="85"/>
        <v>30,</v>
      </c>
      <c r="G81" t="str">
        <f t="shared" ref="G81:S81" si="121">_xlfn.CONCAT(ROUND(G39, 0),",")</f>
        <v>56,</v>
      </c>
      <c r="H81" t="str">
        <f t="shared" si="121"/>
        <v>81,</v>
      </c>
      <c r="I81" t="str">
        <f t="shared" si="121"/>
        <v>107,</v>
      </c>
      <c r="J81" t="str">
        <f t="shared" si="121"/>
        <v>133,</v>
      </c>
      <c r="K81" t="str">
        <f t="shared" si="121"/>
        <v>159,</v>
      </c>
      <c r="L81" t="str">
        <f t="shared" si="121"/>
        <v>184,</v>
      </c>
      <c r="M81" t="str">
        <f t="shared" si="121"/>
        <v>210,</v>
      </c>
      <c r="N81" t="str">
        <f t="shared" si="121"/>
        <v>236,</v>
      </c>
      <c r="O81" t="str">
        <f t="shared" si="121"/>
        <v>261,</v>
      </c>
      <c r="P81" t="str">
        <f t="shared" si="121"/>
        <v>287,</v>
      </c>
      <c r="Q81" t="str">
        <f t="shared" si="121"/>
        <v>387,</v>
      </c>
      <c r="R81" t="str">
        <f t="shared" si="121"/>
        <v>487,</v>
      </c>
      <c r="S81" t="str">
        <f t="shared" si="121"/>
        <v>587,</v>
      </c>
    </row>
    <row r="82" spans="6:19" x14ac:dyDescent="0.3">
      <c r="F82" t="str">
        <f t="shared" si="85"/>
        <v>30,</v>
      </c>
      <c r="G82" t="str">
        <f t="shared" ref="G82:S82" si="122">_xlfn.CONCAT(ROUND(G40, 0),",")</f>
        <v>108,</v>
      </c>
      <c r="H82" t="str">
        <f t="shared" si="122"/>
        <v>186,</v>
      </c>
      <c r="I82" t="str">
        <f t="shared" si="122"/>
        <v>265,</v>
      </c>
      <c r="J82" t="str">
        <f t="shared" si="122"/>
        <v>343,</v>
      </c>
      <c r="K82" t="str">
        <f t="shared" si="122"/>
        <v>421,</v>
      </c>
      <c r="L82" t="str">
        <f t="shared" si="122"/>
        <v>499,</v>
      </c>
      <c r="M82" t="str">
        <f t="shared" si="122"/>
        <v>577,</v>
      </c>
      <c r="N82" t="str">
        <f t="shared" si="122"/>
        <v>656,</v>
      </c>
      <c r="O82" t="str">
        <f t="shared" si="122"/>
        <v>734,</v>
      </c>
      <c r="P82" t="str">
        <f t="shared" si="122"/>
        <v>812,</v>
      </c>
      <c r="Q82" t="str">
        <f t="shared" si="122"/>
        <v>912,</v>
      </c>
      <c r="R82" t="str">
        <f t="shared" si="122"/>
        <v>1012,</v>
      </c>
      <c r="S82" t="str">
        <f t="shared" si="122"/>
        <v>1112,</v>
      </c>
    </row>
    <row r="83" spans="6:19" x14ac:dyDescent="0.3">
      <c r="F83" t="str">
        <f>_xlfn.CONCAT(F41,":")</f>
        <v>30:</v>
      </c>
      <c r="G83" t="str">
        <f t="shared" ref="G83:S83" si="123">_xlfn.CONCAT(ROUND(G41, 0),":")</f>
        <v>58:</v>
      </c>
      <c r="H83" t="str">
        <f t="shared" si="123"/>
        <v>86:</v>
      </c>
      <c r="I83" t="str">
        <f t="shared" si="123"/>
        <v>114:</v>
      </c>
      <c r="J83" t="str">
        <f t="shared" si="123"/>
        <v>143:</v>
      </c>
      <c r="K83" t="str">
        <f t="shared" si="123"/>
        <v>171:</v>
      </c>
      <c r="L83" t="str">
        <f t="shared" si="123"/>
        <v>199:</v>
      </c>
      <c r="M83" t="str">
        <f t="shared" si="123"/>
        <v>227:</v>
      </c>
      <c r="N83" t="str">
        <f t="shared" si="123"/>
        <v>255:</v>
      </c>
      <c r="O83" t="str">
        <f t="shared" si="123"/>
        <v>283:</v>
      </c>
      <c r="P83" t="str">
        <f t="shared" si="123"/>
        <v>311:</v>
      </c>
      <c r="Q83" t="str">
        <f t="shared" si="123"/>
        <v>411:</v>
      </c>
      <c r="R83" t="str">
        <f t="shared" si="123"/>
        <v>511:</v>
      </c>
      <c r="S83" t="str">
        <f t="shared" si="123"/>
        <v>611:</v>
      </c>
    </row>
    <row r="84" spans="6:19" x14ac:dyDescent="0.3">
      <c r="F84" t="s">
        <v>373</v>
      </c>
      <c r="G84" t="s">
        <v>373</v>
      </c>
      <c r="H84" t="s">
        <v>373</v>
      </c>
      <c r="I84" t="s">
        <v>373</v>
      </c>
      <c r="J84" t="s">
        <v>373</v>
      </c>
      <c r="K84" t="s">
        <v>373</v>
      </c>
      <c r="L84" t="s">
        <v>373</v>
      </c>
      <c r="M84" t="s">
        <v>373</v>
      </c>
      <c r="N84" t="s">
        <v>373</v>
      </c>
      <c r="O84" t="s">
        <v>373</v>
      </c>
      <c r="P84" t="s">
        <v>373</v>
      </c>
      <c r="Q84" t="s">
        <v>373</v>
      </c>
      <c r="R84" t="s">
        <v>373</v>
      </c>
      <c r="S84" t="s">
        <v>373</v>
      </c>
    </row>
    <row r="85" spans="6:19" x14ac:dyDescent="0.3">
      <c r="F85" s="179" t="str">
        <f t="shared" ref="F85:S85" si="124">_xlfn.CONCAT(F45:F83)</f>
        <v>30,30,30,30,30,30,30,30,30,30,30,30,30,30,30,30,30,30,30,30,30,30,30,30,30,30,30,30,30,30,30,30,30,30,30,30,30,30,30:</v>
      </c>
      <c r="G85" s="179" t="str">
        <f t="shared" si="124"/>
        <v>110,102,101,90,103,92,113,104,104,110,105,113,89,98,104,95,100,93,92,70,110,100,95,91,100,93,91,71,84,94,91,93,97,81,85,102,56,108,58:</v>
      </c>
      <c r="H85" s="179" t="str">
        <f t="shared" si="124"/>
        <v>190,174,172,149,176,155,195,177,178,189,181,196,148,166,178,161,170,157,155,109,191,169,160,152,171,155,152,112,138,158,151,156,164,132,139,174,81,186,86:</v>
      </c>
      <c r="I85" s="179" t="str">
        <f t="shared" si="124"/>
        <v>270,246,243,209,250,217,278,251,252,269,256,279,207,233,252,226,240,220,217,149,271,239,226,213,241,218,213,153,192,222,212,219,232,182,194,246,107,265,114:</v>
      </c>
      <c r="J85" s="179" t="str">
        <f t="shared" si="124"/>
        <v>351,318,314,268,323,279,360,325,326,348,332,361,266,301,326,291,309,283,279,189,352,309,291,273,311,280,274,194,246,287,272,283,299,233,248,318,133,343,143:</v>
      </c>
      <c r="K85" s="179" t="str">
        <f t="shared" si="124"/>
        <v>431,390,385,328,396,341,443,398,400,428,407,444,325,369,400,357,379,347,342,228,432,378,356,334,381,343,335,235,300,351,333,346,366,284,303,390,159,421,171:</v>
      </c>
      <c r="L85" s="179" t="str">
        <f t="shared" si="124"/>
        <v>511,462,457,387,469,404,526,472,474,507,482,527,384,437,474,422,449,410,404,268,513,448,421,395,452,406,396,276,353,415,393,409,433,335,358,462,184,499,199:</v>
      </c>
      <c r="M85" s="179" t="str">
        <f t="shared" si="124"/>
        <v>591,534,528,447,543,466,608,546,548,587,558,610,443,504,548,487,519,473,467,308,593,517,487,456,522,468,457,317,407,479,454,472,501,386,412,534,210,577,227:</v>
      </c>
      <c r="N85" s="179" t="str">
        <f t="shared" si="124"/>
        <v>671,606,599,506,616,528,691,619,621,666,633,693,502,572,622,553,589,537,529,347,674,587,552,517,592,531,518,358,461,543,514,535,568,436,467,606,236,656,255:</v>
      </c>
      <c r="O85" s="179" t="str">
        <f t="shared" si="124"/>
        <v>751,678,670,566,689,591,774,693,695,746,708,776,561,640,696,618,659,600,591,387,754,657,617,578,663,593,579,399,515,607,575,598,635,487,522,678,261,734,283:</v>
      </c>
      <c r="P85" s="179" t="str">
        <f t="shared" si="124"/>
        <v>831,750,741,625,762,653,856,767,769,825,784,858,620,708,770,684,729,663,654,427,835,726,682,639,733,656,640,440,569,671,636,662,702,538,576,750,287,812,311:</v>
      </c>
      <c r="Q85" s="179" t="str">
        <f t="shared" si="124"/>
        <v>931,850,841,725,862,753,956,867,869,925,884,958,720,808,870,784,829,763,754,527,935,826,782,739,833,756,740,540,669,771,736,762,802,638,676,850,387,912,411:</v>
      </c>
      <c r="R85" s="179" t="str">
        <f t="shared" si="124"/>
        <v>1031,950,941,825,962,853,1056,967,969,1025,984,1058,820,908,970,884,929,863,854,627,1035,926,882,839,933,856,840,640,769,871,836,862,902,738,776,950,487,1012,511:</v>
      </c>
      <c r="S85" s="179" t="str">
        <f t="shared" si="124"/>
        <v>1131,1050,1041,925,1062,953,1156,1067,1069,1125,1084,1158,920,1008,1070,984,1029,963,954,727,1135,1026,982,939,1033,956,940,740,869,971,936,962,1002,838,876,1050,587,1112,611:</v>
      </c>
    </row>
    <row r="86" spans="6:19" x14ac:dyDescent="0.3">
      <c r="F86" s="180" t="str">
        <f>_xlfn.CONCAT(F85:S85)</f>
        <v>30,30,30,30,30,30,30,30,30,30,30,30,30,30,30,30,30,30,30,30,30,30,30,30,30,30,30,30,30,30,30,30,30,30,30,30,30,30,30:110,102,101,90,103,92,113,104,104,110,105,113,89,98,104,95,100,93,92,70,110,100,95,91,100,93,91,71,84,94,91,93,97,81,85,102,56,108,58:190,174,172,149,176,155,195,177,178,189,181,196,148,166,178,161,170,157,155,109,191,169,160,152,171,155,152,112,138,158,151,156,164,132,139,174,81,186,86:270,246,243,209,250,217,278,251,252,269,256,279,207,233,252,226,240,220,217,149,271,239,226,213,241,218,213,153,192,222,212,219,232,182,194,246,107,265,114:351,318,314,268,323,279,360,325,326,348,332,361,266,301,326,291,309,283,279,189,352,309,291,273,311,280,274,194,246,287,272,283,299,233,248,318,133,343,143:431,390,385,328,396,341,443,398,400,428,407,444,325,369,400,357,379,347,342,228,432,378,356,334,381,343,335,235,300,351,333,346,366,284,303,390,159,421,171:511,462,457,387,469,404,526,472,474,507,482,527,384,437,474,422,449,410,404,268,513,448,421,395,452,406,396,276,353,415,393,409,433,335,358,462,184,499,199:591,534,528,447,543,466,608,546,548,587,558,610,443,504,548,487,519,473,467,308,593,517,487,456,522,468,457,317,407,479,454,472,501,386,412,534,210,577,227:671,606,599,506,616,528,691,619,621,666,633,693,502,572,622,553,589,537,529,347,674,587,552,517,592,531,518,358,461,543,514,535,568,436,467,606,236,656,255:751,678,670,566,689,591,774,693,695,746,708,776,561,640,696,618,659,600,591,387,754,657,617,578,663,593,579,399,515,607,575,598,635,487,522,678,261,734,283:831,750,741,625,762,653,856,767,769,825,784,858,620,708,770,684,729,663,654,427,835,726,682,639,733,656,640,440,569,671,636,662,702,538,576,750,287,812,311:931,850,841,725,862,753,956,867,869,925,884,958,720,808,870,784,829,763,754,527,935,826,782,739,833,756,740,540,669,771,736,762,802,638,676,850,387,912,411:1031,950,941,825,962,853,1056,967,969,1025,984,1058,820,908,970,884,929,863,854,627,1035,926,882,839,933,856,840,640,769,871,836,862,902,738,776,950,487,1012,511:1131,1050,1041,925,1062,953,1156,1067,1069,1125,1084,1158,920,1008,1070,984,1029,963,954,727,1135,1026,982,939,1033,956,940,740,869,971,936,962,1002,838,876,1050,587,1112,611:</v>
      </c>
    </row>
  </sheetData>
  <phoneticPr fontId="1" type="noConversion"/>
  <pageMargins left="0.7" right="0.7" top="0.75" bottom="0.75" header="0.3" footer="0.3"/>
  <pageSetup orientation="portrait" horizontalDpi="4294967293"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C9133-B2D8-4254-BE88-5CEE3129D0D6}">
  <dimension ref="A2:E21"/>
  <sheetViews>
    <sheetView tabSelected="1" workbookViewId="0">
      <selection activeCell="C6" sqref="C6"/>
    </sheetView>
  </sheetViews>
  <sheetFormatPr defaultRowHeight="14.4" x14ac:dyDescent="0.3"/>
  <cols>
    <col min="1" max="1" width="16.5546875" bestFit="1" customWidth="1"/>
    <col min="2" max="2" width="11" bestFit="1" customWidth="1"/>
    <col min="3" max="3" width="15.6640625" bestFit="1" customWidth="1"/>
    <col min="4" max="4" width="13.6640625" bestFit="1" customWidth="1"/>
  </cols>
  <sheetData>
    <row r="2" spans="1:5" x14ac:dyDescent="0.3">
      <c r="A2" t="s">
        <v>267</v>
      </c>
      <c r="B2" t="s">
        <v>248</v>
      </c>
      <c r="C2" t="s">
        <v>406</v>
      </c>
      <c r="D2" t="s">
        <v>407</v>
      </c>
      <c r="E2" t="s">
        <v>249</v>
      </c>
    </row>
    <row r="3" spans="1:5" x14ac:dyDescent="0.3">
      <c r="A3" s="131">
        <f t="shared" ref="A3:A7" si="0">B3/10000000</f>
        <v>2.5000000000000002E-6</v>
      </c>
      <c r="B3">
        <v>25</v>
      </c>
      <c r="C3" s="129">
        <f>B3*0*0.7</f>
        <v>0</v>
      </c>
    </row>
    <row r="4" spans="1:5" x14ac:dyDescent="0.3">
      <c r="A4" s="131">
        <f t="shared" si="0"/>
        <v>1.0000000000000001E-5</v>
      </c>
      <c r="B4">
        <v>100</v>
      </c>
      <c r="C4" s="129">
        <f t="shared" ref="C4:C6" si="1">B4*0*0.7</f>
        <v>0</v>
      </c>
      <c r="E4" t="s">
        <v>262</v>
      </c>
    </row>
    <row r="5" spans="1:5" x14ac:dyDescent="0.3">
      <c r="A5" s="131">
        <f t="shared" si="0"/>
        <v>5.0000000000000002E-5</v>
      </c>
      <c r="B5">
        <v>500</v>
      </c>
      <c r="C5" s="129">
        <f t="shared" si="1"/>
        <v>0</v>
      </c>
    </row>
    <row r="6" spans="1:5" x14ac:dyDescent="0.3">
      <c r="A6" s="131">
        <f t="shared" si="0"/>
        <v>1E-4</v>
      </c>
      <c r="B6">
        <v>1000</v>
      </c>
      <c r="C6" s="129">
        <f t="shared" si="1"/>
        <v>0</v>
      </c>
      <c r="E6" t="s">
        <v>250</v>
      </c>
    </row>
    <row r="7" spans="1:5" x14ac:dyDescent="0.3">
      <c r="A7" s="131">
        <f t="shared" si="0"/>
        <v>2.5000000000000001E-4</v>
      </c>
      <c r="B7">
        <v>2500</v>
      </c>
      <c r="C7" s="129">
        <f>(B7-B6)*3.99*0.7</f>
        <v>4189.5</v>
      </c>
      <c r="D7" s="191">
        <f>C7</f>
        <v>4189.5</v>
      </c>
      <c r="E7" t="s">
        <v>251</v>
      </c>
    </row>
    <row r="8" spans="1:5" x14ac:dyDescent="0.3">
      <c r="A8" s="131">
        <f>B8/10000000</f>
        <v>5.0000000000000001E-4</v>
      </c>
      <c r="B8" s="130">
        <v>5000</v>
      </c>
      <c r="C8" s="129">
        <f t="shared" ref="C8:C21" si="2">(B8-B7)*3.99*0.7</f>
        <v>6982.5</v>
      </c>
      <c r="D8" s="191">
        <f>C7+C8</f>
        <v>11172</v>
      </c>
      <c r="E8" s="130" t="s">
        <v>252</v>
      </c>
    </row>
    <row r="9" spans="1:5" x14ac:dyDescent="0.3">
      <c r="A9" s="131">
        <f t="shared" ref="A9:A21" si="3">B9/10000000</f>
        <v>7.5000000000000002E-4</v>
      </c>
      <c r="B9">
        <v>7500</v>
      </c>
      <c r="C9" s="129">
        <f t="shared" si="2"/>
        <v>6982.5</v>
      </c>
      <c r="D9" s="191">
        <f>C7+C8+C9</f>
        <v>18154.5</v>
      </c>
      <c r="E9" t="s">
        <v>408</v>
      </c>
    </row>
    <row r="10" spans="1:5" x14ac:dyDescent="0.3">
      <c r="A10" s="131">
        <f t="shared" si="3"/>
        <v>1E-3</v>
      </c>
      <c r="B10">
        <v>10000</v>
      </c>
      <c r="C10" s="129">
        <f t="shared" si="2"/>
        <v>6982.5</v>
      </c>
      <c r="D10" s="191">
        <f>C7+C8+C9+C10</f>
        <v>25137</v>
      </c>
      <c r="E10" t="s">
        <v>253</v>
      </c>
    </row>
    <row r="11" spans="1:5" x14ac:dyDescent="0.3">
      <c r="A11" s="131">
        <f t="shared" si="3"/>
        <v>1.5E-3</v>
      </c>
      <c r="B11">
        <v>15000</v>
      </c>
      <c r="C11" s="129">
        <f t="shared" si="2"/>
        <v>13965</v>
      </c>
      <c r="D11" s="191">
        <f>C7+C8+C9+C10+C11</f>
        <v>39102</v>
      </c>
      <c r="E11" t="s">
        <v>261</v>
      </c>
    </row>
    <row r="12" spans="1:5" x14ac:dyDescent="0.3">
      <c r="A12" s="131">
        <f t="shared" si="3"/>
        <v>2E-3</v>
      </c>
      <c r="B12" s="164">
        <v>20000</v>
      </c>
      <c r="C12" s="129">
        <f t="shared" si="2"/>
        <v>13965</v>
      </c>
      <c r="D12" s="191">
        <f>C7+C8+C9+C10+C11+C12</f>
        <v>53067</v>
      </c>
      <c r="E12" t="s">
        <v>254</v>
      </c>
    </row>
    <row r="13" spans="1:5" x14ac:dyDescent="0.3">
      <c r="A13" s="131">
        <f t="shared" si="3"/>
        <v>3.0000000000000001E-3</v>
      </c>
      <c r="B13">
        <v>30000</v>
      </c>
      <c r="C13" s="129">
        <f t="shared" si="2"/>
        <v>27930</v>
      </c>
      <c r="D13" s="191">
        <f>C7+C8+C9+C10+C11+C12+C13</f>
        <v>80997</v>
      </c>
      <c r="E13" t="s">
        <v>255</v>
      </c>
    </row>
    <row r="14" spans="1:5" x14ac:dyDescent="0.3">
      <c r="A14" s="131">
        <f t="shared" si="3"/>
        <v>4.0000000000000001E-3</v>
      </c>
      <c r="B14">
        <v>40000</v>
      </c>
      <c r="C14" s="129">
        <f t="shared" si="2"/>
        <v>27930</v>
      </c>
      <c r="D14" s="191">
        <f>C7+C8+C9+C10+C11+C12+C13+C14</f>
        <v>108927</v>
      </c>
      <c r="E14" t="s">
        <v>256</v>
      </c>
    </row>
    <row r="15" spans="1:5" x14ac:dyDescent="0.3">
      <c r="A15" s="131">
        <f t="shared" si="3"/>
        <v>5.0000000000000001E-3</v>
      </c>
      <c r="B15">
        <v>50000</v>
      </c>
      <c r="C15" s="129">
        <f t="shared" si="2"/>
        <v>27930</v>
      </c>
      <c r="D15" s="191">
        <f>C7+C8+C9+C10+C11+C12+C13+C14+C15</f>
        <v>136857</v>
      </c>
      <c r="E15" t="s">
        <v>263</v>
      </c>
    </row>
    <row r="16" spans="1:5" x14ac:dyDescent="0.3">
      <c r="A16" s="131">
        <f t="shared" si="3"/>
        <v>7.4999999999999997E-3</v>
      </c>
      <c r="B16">
        <v>75000</v>
      </c>
      <c r="C16" s="129">
        <f t="shared" si="2"/>
        <v>69825</v>
      </c>
      <c r="D16" s="191">
        <f>C7+C8+C9+C10+C11+C12+C13+C14+C15+C16</f>
        <v>206682</v>
      </c>
      <c r="E16" t="s">
        <v>264</v>
      </c>
    </row>
    <row r="17" spans="1:5" x14ac:dyDescent="0.3">
      <c r="A17" s="131">
        <f t="shared" si="3"/>
        <v>0.01</v>
      </c>
      <c r="B17" s="159">
        <v>100000</v>
      </c>
      <c r="C17" s="129">
        <f t="shared" si="2"/>
        <v>69825</v>
      </c>
      <c r="D17" s="191">
        <f>C7+C8+C9+C10+C11+C12+C13+C14+C15+C16+C17</f>
        <v>276507</v>
      </c>
      <c r="E17" t="s">
        <v>266</v>
      </c>
    </row>
    <row r="18" spans="1:5" x14ac:dyDescent="0.3">
      <c r="A18" s="131">
        <f t="shared" si="3"/>
        <v>0.02</v>
      </c>
      <c r="B18">
        <v>200000</v>
      </c>
      <c r="C18" s="129">
        <f t="shared" si="2"/>
        <v>279300</v>
      </c>
      <c r="D18" s="191">
        <f>C7+C8+C9+C10+C11+C12+C13+C14+C15+C16+C17+C18</f>
        <v>555807</v>
      </c>
    </row>
    <row r="19" spans="1:5" x14ac:dyDescent="0.3">
      <c r="A19" s="131">
        <f t="shared" si="3"/>
        <v>2.5000000000000001E-2</v>
      </c>
      <c r="B19">
        <v>250000</v>
      </c>
      <c r="C19" s="129">
        <f t="shared" si="2"/>
        <v>139650</v>
      </c>
      <c r="D19" s="191">
        <f>C7+C8+C9+C10+C11+C12+C13+C14+C15+C16+C17+C18+C19</f>
        <v>695457</v>
      </c>
      <c r="E19" t="s">
        <v>257</v>
      </c>
    </row>
    <row r="20" spans="1:5" x14ac:dyDescent="0.3">
      <c r="A20" s="131">
        <f t="shared" si="3"/>
        <v>0.05</v>
      </c>
      <c r="B20">
        <v>500000</v>
      </c>
      <c r="C20" s="129">
        <f t="shared" si="2"/>
        <v>698250</v>
      </c>
      <c r="D20" s="191">
        <f>C7+C8+C9+C10+C11+C12+C13+C14+C15+C16+C17+C18+C19+C20</f>
        <v>1393707</v>
      </c>
      <c r="E20" t="s">
        <v>258</v>
      </c>
    </row>
    <row r="21" spans="1:5" x14ac:dyDescent="0.3">
      <c r="A21" s="131">
        <f t="shared" si="3"/>
        <v>0.1</v>
      </c>
      <c r="B21">
        <v>1000000</v>
      </c>
      <c r="C21" s="129">
        <f t="shared" si="2"/>
        <v>1396500</v>
      </c>
      <c r="D21" s="191">
        <f>C7+C8+C9+C10+C11+C12+C13+C14+C15+C16+C17+C18+C19+C20+C21</f>
        <v>2790207</v>
      </c>
      <c r="E21" t="s">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Areas</vt:lpstr>
      <vt:lpstr>DeveloperBlocks and Materials</vt:lpstr>
      <vt:lpstr>Prefs</vt:lpstr>
      <vt:lpstr>SpeedCalculationAndFPS</vt:lpstr>
      <vt:lpstr>CustomLevels</vt:lpstr>
      <vt:lpstr>Rankings</vt:lpstr>
      <vt:lpstr>Milestones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Nate A</dc:creator>
  <cp:lastModifiedBy>Nate A</cp:lastModifiedBy>
  <cp:lastPrinted>2021-06-05T22:23:28Z</cp:lastPrinted>
  <dcterms:created xsi:type="dcterms:W3CDTF">2021-05-31T02:43:06Z</dcterms:created>
  <dcterms:modified xsi:type="dcterms:W3CDTF">2023-02-21T05:44:10Z</dcterms:modified>
</cp:coreProperties>
</file>